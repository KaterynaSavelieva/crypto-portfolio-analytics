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51066\Crypto Portfolio Analytics System\"/>
    </mc:Choice>
  </mc:AlternateContent>
  <xr:revisionPtr revIDLastSave="0" documentId="13_ncr:1_{8F1A53CE-BFF0-4E0E-AAFD-97E8825B15CD}" xr6:coauthVersionLast="36" xr6:coauthVersionMax="36" xr10:uidLastSave="{00000000-0000-0000-0000-000000000000}"/>
  <bookViews>
    <workbookView xWindow="0" yWindow="0" windowWidth="14385" windowHeight="510" activeTab="2" xr2:uid="{8CB24F22-BAD3-4E39-AF19-920013E6F891}"/>
  </bookViews>
  <sheets>
    <sheet name="Tabelle1" sheetId="1" r:id="rId1"/>
    <sheet name="Tabelle4" sheetId="4" r:id="rId2"/>
    <sheet name="Tabelle5" sheetId="5" r:id="rId3"/>
    <sheet name="Tabelle3" sheetId="3" r:id="rId4"/>
    <sheet name="Tabelle2" sheetId="2" r:id="rId5"/>
  </sheets>
  <definedNames>
    <definedName name="ExterneDaten_1" localSheetId="1" hidden="1">Tabelle4!$A$1:$N$294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5" l="1"/>
  <c r="R3" i="5"/>
  <c r="H4" i="5"/>
  <c r="H5" i="5"/>
  <c r="H6" i="5"/>
  <c r="H7" i="5"/>
  <c r="H8" i="5"/>
  <c r="H9" i="5"/>
  <c r="H10" i="5"/>
  <c r="H11" i="5"/>
  <c r="H3" i="5"/>
  <c r="K4" i="5"/>
  <c r="K5" i="5"/>
  <c r="K6" i="5"/>
  <c r="K7" i="5"/>
  <c r="K8" i="5"/>
  <c r="K9" i="5"/>
  <c r="K10" i="5"/>
  <c r="K11" i="5"/>
  <c r="K3" i="5"/>
  <c r="P11" i="5"/>
  <c r="P10" i="5"/>
  <c r="P9" i="5"/>
  <c r="P8" i="5"/>
  <c r="P7" i="5"/>
  <c r="P3" i="5"/>
  <c r="Q3" i="5" s="1"/>
  <c r="P4" i="5"/>
  <c r="Q4" i="5" s="1"/>
  <c r="P5" i="5"/>
  <c r="P6" i="5"/>
  <c r="M3" i="5"/>
  <c r="C4" i="5" s="1"/>
  <c r="L3" i="5"/>
  <c r="N3" i="5" s="1"/>
  <c r="O10" i="4"/>
  <c r="P10" i="4"/>
  <c r="Q10" i="4" s="1"/>
  <c r="R10" i="4"/>
  <c r="O11" i="4"/>
  <c r="P11" i="4"/>
  <c r="Q11" i="4"/>
  <c r="R11" i="4"/>
  <c r="O12" i="4"/>
  <c r="P12" i="4"/>
  <c r="Q12" i="4"/>
  <c r="R12" i="4"/>
  <c r="O13" i="4"/>
  <c r="P13" i="4"/>
  <c r="Q13" i="4" s="1"/>
  <c r="R13" i="4"/>
  <c r="O14" i="4"/>
  <c r="P14" i="4" s="1"/>
  <c r="Q14" i="4" s="1"/>
  <c r="R14" i="4"/>
  <c r="O15" i="4"/>
  <c r="P15" i="4"/>
  <c r="Q15" i="4"/>
  <c r="R15" i="4"/>
  <c r="O16" i="4"/>
  <c r="P16" i="4"/>
  <c r="Q16" i="4"/>
  <c r="R16" i="4"/>
  <c r="O17" i="4"/>
  <c r="P17" i="4" s="1"/>
  <c r="Q17" i="4" s="1"/>
  <c r="R17" i="4"/>
  <c r="O18" i="4"/>
  <c r="P18" i="4"/>
  <c r="Q18" i="4"/>
  <c r="R18" i="4"/>
  <c r="O19" i="4"/>
  <c r="P19" i="4"/>
  <c r="Q19" i="4" s="1"/>
  <c r="R19" i="4"/>
  <c r="O20" i="4"/>
  <c r="P20" i="4"/>
  <c r="Q20" i="4"/>
  <c r="R20" i="4"/>
  <c r="O21" i="4"/>
  <c r="P21" i="4"/>
  <c r="Q21" i="4" s="1"/>
  <c r="R21" i="4"/>
  <c r="O22" i="4"/>
  <c r="P22" i="4"/>
  <c r="Q22" i="4"/>
  <c r="R22" i="4"/>
  <c r="O23" i="4"/>
  <c r="P23" i="4"/>
  <c r="Q23" i="4"/>
  <c r="R23" i="4"/>
  <c r="O24" i="4"/>
  <c r="P24" i="4" s="1"/>
  <c r="Q24" i="4" s="1"/>
  <c r="R24" i="4"/>
  <c r="O25" i="4"/>
  <c r="P25" i="4"/>
  <c r="Q25" i="4"/>
  <c r="R25" i="4"/>
  <c r="O26" i="4"/>
  <c r="P26" i="4"/>
  <c r="Q26" i="4" s="1"/>
  <c r="R26" i="4"/>
  <c r="O27" i="4"/>
  <c r="P27" i="4"/>
  <c r="Q27" i="4" s="1"/>
  <c r="R27" i="4"/>
  <c r="O28" i="4"/>
  <c r="P28" i="4"/>
  <c r="Q28" i="4"/>
  <c r="R28" i="4"/>
  <c r="O29" i="4"/>
  <c r="P29" i="4" s="1"/>
  <c r="Q29" i="4" s="1"/>
  <c r="R29" i="4"/>
  <c r="O30" i="4"/>
  <c r="P30" i="4"/>
  <c r="Q30" i="4"/>
  <c r="R30" i="4"/>
  <c r="R3" i="4"/>
  <c r="R4" i="4"/>
  <c r="R5" i="4"/>
  <c r="R6" i="4"/>
  <c r="R7" i="4"/>
  <c r="R8" i="4"/>
  <c r="R9" i="4"/>
  <c r="Q8" i="4"/>
  <c r="O3" i="4"/>
  <c r="P3" i="4" s="1"/>
  <c r="Q3" i="4" s="1"/>
  <c r="O4" i="4"/>
  <c r="P4" i="4" s="1"/>
  <c r="Q4" i="4" s="1"/>
  <c r="O5" i="4"/>
  <c r="P5" i="4"/>
  <c r="Q5" i="4" s="1"/>
  <c r="O6" i="4"/>
  <c r="P6" i="4"/>
  <c r="Q6" i="4" s="1"/>
  <c r="O7" i="4"/>
  <c r="P7" i="4" s="1"/>
  <c r="Q7" i="4" s="1"/>
  <c r="O8" i="4"/>
  <c r="P8" i="4"/>
  <c r="O9" i="4"/>
  <c r="P9" i="4"/>
  <c r="Q9" i="4" s="1"/>
  <c r="R2" i="4"/>
  <c r="O2" i="4"/>
  <c r="T2" i="1"/>
  <c r="Q5" i="5" l="1"/>
  <c r="Q6" i="5" s="1"/>
  <c r="Q7" i="5" s="1"/>
  <c r="Q8" i="5" s="1"/>
  <c r="Q9" i="5" s="1"/>
  <c r="Q10" i="5" s="1"/>
  <c r="Q11" i="5" s="1"/>
  <c r="O3" i="5"/>
  <c r="E4" i="5" s="1"/>
  <c r="D4" i="5"/>
  <c r="L4" i="5" s="1"/>
  <c r="N4" i="5" s="1"/>
  <c r="D5" i="5" s="1"/>
  <c r="M4" i="5"/>
  <c r="P2" i="4"/>
  <c r="Q2" i="4" s="1"/>
  <c r="O4" i="5" l="1"/>
  <c r="C5" i="5"/>
  <c r="M5" i="5" l="1"/>
  <c r="L5" i="5"/>
  <c r="N5" i="5" s="1"/>
  <c r="D6" i="5" s="1"/>
  <c r="E5" i="5"/>
  <c r="C6" i="5" l="1"/>
  <c r="O5" i="5"/>
  <c r="R5" i="5" s="1"/>
  <c r="E6" i="5" l="1"/>
  <c r="M6" i="5"/>
  <c r="C7" i="5" s="1"/>
  <c r="L6" i="5"/>
  <c r="N6" i="5" s="1"/>
  <c r="D7" i="5" s="1"/>
  <c r="M7" i="5" l="1"/>
  <c r="L7" i="5"/>
  <c r="N7" i="5" s="1"/>
  <c r="D8" i="5" s="1"/>
  <c r="O6" i="5"/>
  <c r="C8" i="5" l="1"/>
  <c r="O7" i="5"/>
  <c r="E7" i="5"/>
  <c r="R6" i="5"/>
  <c r="E8" i="5" l="1"/>
  <c r="R7" i="5"/>
  <c r="M8" i="5"/>
  <c r="L8" i="5"/>
  <c r="N8" i="5" s="1"/>
  <c r="D9" i="5" s="1"/>
  <c r="C9" i="5" l="1"/>
  <c r="M9" i="5" s="1"/>
  <c r="O8" i="5"/>
  <c r="E9" i="5" l="1"/>
  <c r="R8" i="5"/>
  <c r="C10" i="5"/>
  <c r="M10" i="5" s="1"/>
  <c r="L9" i="5"/>
  <c r="N9" i="5" s="1"/>
  <c r="D10" i="5" s="1"/>
  <c r="L10" i="5" s="1"/>
  <c r="N10" i="5" s="1"/>
  <c r="D11" i="5" s="1"/>
  <c r="C11" i="5" l="1"/>
  <c r="O10" i="5"/>
  <c r="O9" i="5"/>
  <c r="E10" i="5" l="1"/>
  <c r="R9" i="5"/>
  <c r="E11" i="5"/>
  <c r="R10" i="5"/>
  <c r="L11" i="5"/>
  <c r="N11" i="5" s="1"/>
  <c r="M11" i="5"/>
  <c r="O11" i="5" l="1"/>
  <c r="R11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C2AC97-F013-45DD-A024-29FEE0DEE092}" keepAlive="1" name="Abfrage - v_transactions_overview_202604081253" description="Verbindung mit der Abfrage 'v_transactions_overview_202604081253' in der Arbeitsmappe." type="5" refreshedVersion="6" background="1" saveData="1">
    <dbPr connection="Provider=Microsoft.Mashup.OleDb.1;Data Source=$Workbook$;Location=v_transactions_overview_202604081253;Extended Properties=&quot;&quot;" command="SELECT * FROM [v_transactions_overview_202604081253]"/>
  </connection>
</connections>
</file>

<file path=xl/sharedStrings.xml><?xml version="1.0" encoding="utf-8"?>
<sst xmlns="http://schemas.openxmlformats.org/spreadsheetml/2006/main" count="3585" uniqueCount="596">
  <si>
    <t>Julia</t>
  </si>
  <si>
    <t>Coinbase</t>
  </si>
  <si>
    <t>ETH</t>
  </si>
  <si>
    <t>pending</t>
  </si>
  <si>
    <t>USD</t>
  </si>
  <si>
    <t>BUY</t>
  </si>
  <si>
    <t>0.30670000</t>
  </si>
  <si>
    <t>Tom</t>
  </si>
  <si>
    <t>Binance</t>
  </si>
  <si>
    <t>BTC</t>
  </si>
  <si>
    <t>0.01030000</t>
  </si>
  <si>
    <t>Mark</t>
  </si>
  <si>
    <t>completed</t>
  </si>
  <si>
    <t>0.21580000</t>
  </si>
  <si>
    <t>0.01680000</t>
  </si>
  <si>
    <t>David</t>
  </si>
  <si>
    <t>0.23240000</t>
  </si>
  <si>
    <t>0.85000000</t>
  </si>
  <si>
    <t>Lisa</t>
  </si>
  <si>
    <t>0.04400000</t>
  </si>
  <si>
    <t>0.47000000</t>
  </si>
  <si>
    <t>0.07250000</t>
  </si>
  <si>
    <t>Kraken</t>
  </si>
  <si>
    <t>0.03140000</t>
  </si>
  <si>
    <t>0.07180000</t>
  </si>
  <si>
    <t>0.03350000</t>
  </si>
  <si>
    <t>Anna</t>
  </si>
  <si>
    <t>0.30170000</t>
  </si>
  <si>
    <t>0.03650000</t>
  </si>
  <si>
    <t>0.01700000</t>
  </si>
  <si>
    <t>0.03080000</t>
  </si>
  <si>
    <t>0.36230000</t>
  </si>
  <si>
    <t>0.94000000</t>
  </si>
  <si>
    <t>0.01460000</t>
  </si>
  <si>
    <t>0.32000000</t>
  </si>
  <si>
    <t>0.46960000</t>
  </si>
  <si>
    <t>SELL</t>
  </si>
  <si>
    <t>0.00110000</t>
  </si>
  <si>
    <t>0.23030000</t>
  </si>
  <si>
    <t>0.00710000</t>
  </si>
  <si>
    <t>0.23320000</t>
  </si>
  <si>
    <t>0.02540000</t>
  </si>
  <si>
    <t>0.95000000</t>
  </si>
  <si>
    <t>0.26000000</t>
  </si>
  <si>
    <t>0.04790000</t>
  </si>
  <si>
    <t>0.17000000</t>
  </si>
  <si>
    <t>0.41650000</t>
  </si>
  <si>
    <t>0.02160000</t>
  </si>
  <si>
    <t>0.38010000</t>
  </si>
  <si>
    <t>0.89000000</t>
  </si>
  <si>
    <t>0.04560000</t>
  </si>
  <si>
    <t>0.33370000</t>
  </si>
  <si>
    <t>0.13000000</t>
  </si>
  <si>
    <t>0.01590000</t>
  </si>
  <si>
    <t>0.45630000</t>
  </si>
  <si>
    <t>0.39000000</t>
  </si>
  <si>
    <t>0.00340000</t>
  </si>
  <si>
    <t>0.27510000</t>
  </si>
  <si>
    <t>0.02890000</t>
  </si>
  <si>
    <t>0.01970000</t>
  </si>
  <si>
    <t>0.64000000</t>
  </si>
  <si>
    <t>0.03820000</t>
  </si>
  <si>
    <t>0.26280000</t>
  </si>
  <si>
    <t>0.00160000</t>
  </si>
  <si>
    <t>0.04000000</t>
  </si>
  <si>
    <t>0.03170000</t>
  </si>
  <si>
    <t>0.69000000</t>
  </si>
  <si>
    <t>0.00220000</t>
  </si>
  <si>
    <t>0.17560000</t>
  </si>
  <si>
    <t>0.91000000</t>
  </si>
  <si>
    <t>0.00530000</t>
  </si>
  <si>
    <t>0.06480000</t>
  </si>
  <si>
    <t>0.01280000</t>
  </si>
  <si>
    <t>0.44340000</t>
  </si>
  <si>
    <t>0.02440000</t>
  </si>
  <si>
    <t>0.38000000</t>
  </si>
  <si>
    <t>0.24570000</t>
  </si>
  <si>
    <t>0.03850000</t>
  </si>
  <si>
    <t>0.32820000</t>
  </si>
  <si>
    <t>0.01240000</t>
  </si>
  <si>
    <t>0.07020000</t>
  </si>
  <si>
    <t>0.01000000</t>
  </si>
  <si>
    <t>0.02750000</t>
  </si>
  <si>
    <t>0.29030000</t>
  </si>
  <si>
    <t>0.01330000</t>
  </si>
  <si>
    <t>0.24000000</t>
  </si>
  <si>
    <t>0.46590000</t>
  </si>
  <si>
    <t>0.00720000</t>
  </si>
  <si>
    <t>0.24030000</t>
  </si>
  <si>
    <t>0.01310000</t>
  </si>
  <si>
    <t>0.09000000</t>
  </si>
  <si>
    <t>0.38590000</t>
  </si>
  <si>
    <t>0.81000000</t>
  </si>
  <si>
    <t>0.02810000</t>
  </si>
  <si>
    <t>0.49160000</t>
  </si>
  <si>
    <t>0.11890000</t>
  </si>
  <si>
    <t>0.01500000</t>
  </si>
  <si>
    <t>0.83000000</t>
  </si>
  <si>
    <t>0.09920000</t>
  </si>
  <si>
    <t>0.01090000</t>
  </si>
  <si>
    <t>0.15290000</t>
  </si>
  <si>
    <t>0.59000000</t>
  </si>
  <si>
    <t>0.02370000</t>
  </si>
  <si>
    <t>0.38340000</t>
  </si>
  <si>
    <t>0.04120000</t>
  </si>
  <si>
    <t>0.03010000</t>
  </si>
  <si>
    <t>0.24120000</t>
  </si>
  <si>
    <t>0.03380000</t>
  </si>
  <si>
    <t>0.02700000</t>
  </si>
  <si>
    <t>0.30400000</t>
  </si>
  <si>
    <t>0.01740000</t>
  </si>
  <si>
    <t>0.00410000</t>
  </si>
  <si>
    <t>0.46000000</t>
  </si>
  <si>
    <t>0.04780000</t>
  </si>
  <si>
    <t>0.26870000</t>
  </si>
  <si>
    <t>0.21120000</t>
  </si>
  <si>
    <t>0.75000000</t>
  </si>
  <si>
    <t>0.03780000</t>
  </si>
  <si>
    <t>0.00000000</t>
  </si>
  <si>
    <t>0.01320000</t>
  </si>
  <si>
    <t>0.20000000</t>
  </si>
  <si>
    <t>0.43040000</t>
  </si>
  <si>
    <t>0.01960000</t>
  </si>
  <si>
    <t>0.02080000</t>
  </si>
  <si>
    <t>0.03560000</t>
  </si>
  <si>
    <t>0.51000000</t>
  </si>
  <si>
    <t>0.44760000</t>
  </si>
  <si>
    <t>0.00250000</t>
  </si>
  <si>
    <t>0.01540000</t>
  </si>
  <si>
    <t>0.54000000</t>
  </si>
  <si>
    <t>0.45410000</t>
  </si>
  <si>
    <t>0.52000000</t>
  </si>
  <si>
    <t>0.00560000</t>
  </si>
  <si>
    <t>0.03920000</t>
  </si>
  <si>
    <t>0.97000000</t>
  </si>
  <si>
    <t>0.43630000</t>
  </si>
  <si>
    <t>0.00860000</t>
  </si>
  <si>
    <t>0.01480000</t>
  </si>
  <si>
    <t>0.06960000</t>
  </si>
  <si>
    <t>0.03460000</t>
  </si>
  <si>
    <t>0.07420000</t>
  </si>
  <si>
    <t>0.04450000</t>
  </si>
  <si>
    <t>0.03250000</t>
  </si>
  <si>
    <t>0.00140000</t>
  </si>
  <si>
    <t>0.45000000</t>
  </si>
  <si>
    <t>0.00180000</t>
  </si>
  <si>
    <t>0.03810000</t>
  </si>
  <si>
    <t>0.02510000</t>
  </si>
  <si>
    <t>0.36090000</t>
  </si>
  <si>
    <t>0.00480000</t>
  </si>
  <si>
    <t>0.15790000</t>
  </si>
  <si>
    <t>0.04710000</t>
  </si>
  <si>
    <t>0.43340000</t>
  </si>
  <si>
    <t>0.43000000</t>
  </si>
  <si>
    <t>0.07150000</t>
  </si>
  <si>
    <t>0.00600000</t>
  </si>
  <si>
    <t>0.00450000</t>
  </si>
  <si>
    <t>0.77000000</t>
  </si>
  <si>
    <t>0.28300000</t>
  </si>
  <si>
    <t>0.00100000</t>
  </si>
  <si>
    <t>0.90000000</t>
  </si>
  <si>
    <t>0.00420000</t>
  </si>
  <si>
    <t>0.00510000</t>
  </si>
  <si>
    <t>0.03870000</t>
  </si>
  <si>
    <t>0.24190000</t>
  </si>
  <si>
    <t>0.16740000</t>
  </si>
  <si>
    <t>0.05340000</t>
  </si>
  <si>
    <t>0.01440000</t>
  </si>
  <si>
    <t>0.07690000</t>
  </si>
  <si>
    <t>0.43730000</t>
  </si>
  <si>
    <t>0.02310000</t>
  </si>
  <si>
    <t>0.07650000</t>
  </si>
  <si>
    <t>0.37890000</t>
  </si>
  <si>
    <t>0.35150000</t>
  </si>
  <si>
    <t>0.01100000</t>
  </si>
  <si>
    <t>0.00940000</t>
  </si>
  <si>
    <t>0.37000000</t>
  </si>
  <si>
    <t>0.35040000</t>
  </si>
  <si>
    <t>0.03860000</t>
  </si>
  <si>
    <t>0.29530000</t>
  </si>
  <si>
    <t>0.03530000</t>
  </si>
  <si>
    <t>0.05800000</t>
  </si>
  <si>
    <t>0.31400000</t>
  </si>
  <si>
    <t>0.01720000</t>
  </si>
  <si>
    <t>0.00740000</t>
  </si>
  <si>
    <t>0.00810000</t>
  </si>
  <si>
    <t>0.00200000</t>
  </si>
  <si>
    <t>0.15000000</t>
  </si>
  <si>
    <t>0.02840000</t>
  </si>
  <si>
    <t>0.03510000</t>
  </si>
  <si>
    <t>0.03930000</t>
  </si>
  <si>
    <t>0.05740000</t>
  </si>
  <si>
    <t>0.01880000</t>
  </si>
  <si>
    <t>0.87000000</t>
  </si>
  <si>
    <t>0.19400000</t>
  </si>
  <si>
    <t>0.00870000</t>
  </si>
  <si>
    <t>0.04010000</t>
  </si>
  <si>
    <t>0.96000000</t>
  </si>
  <si>
    <t>0.25090000</t>
  </si>
  <si>
    <t>0.34270000</t>
  </si>
  <si>
    <t>0.44210000</t>
  </si>
  <si>
    <t>0.10050000</t>
  </si>
  <si>
    <t>0.08000000</t>
  </si>
  <si>
    <t>0.01450000</t>
  </si>
  <si>
    <t>0.07140000</t>
  </si>
  <si>
    <t>0.30000000</t>
  </si>
  <si>
    <t>0.02830000</t>
  </si>
  <si>
    <t>0.29740000</t>
  </si>
  <si>
    <t>0.02200000</t>
  </si>
  <si>
    <t>0.25000000</t>
  </si>
  <si>
    <t>0.27000000</t>
  </si>
  <si>
    <t>0.03440000</t>
  </si>
  <si>
    <t>0.03110000</t>
  </si>
  <si>
    <t>0.88000000</t>
  </si>
  <si>
    <t>0.00040000</t>
  </si>
  <si>
    <t>0.00280000</t>
  </si>
  <si>
    <t>0.38600000</t>
  </si>
  <si>
    <t>0.42000000</t>
  </si>
  <si>
    <t>0.03940000</t>
  </si>
  <si>
    <t>0.35000000</t>
  </si>
  <si>
    <t>0.41380000</t>
  </si>
  <si>
    <t>0.33260000</t>
  </si>
  <si>
    <t>0.00270000</t>
  </si>
  <si>
    <t>0.26970000</t>
  </si>
  <si>
    <t>0.12000000</t>
  </si>
  <si>
    <t>0.01810000</t>
  </si>
  <si>
    <t>0.45270000</t>
  </si>
  <si>
    <t>0.17960000</t>
  </si>
  <si>
    <t>0.18050000</t>
  </si>
  <si>
    <t>0.01630000</t>
  </si>
  <si>
    <t>0.03700000</t>
  </si>
  <si>
    <t>0.39820000</t>
  </si>
  <si>
    <t>0.10680000</t>
  </si>
  <si>
    <t>0.15550000</t>
  </si>
  <si>
    <t>0.01550000</t>
  </si>
  <si>
    <t>0.01340000</t>
  </si>
  <si>
    <t>0.02470000</t>
  </si>
  <si>
    <t>0.70000000</t>
  </si>
  <si>
    <t>0.08010000</t>
  </si>
  <si>
    <t>0.04660000</t>
  </si>
  <si>
    <t>0.01080000</t>
  </si>
  <si>
    <t>0.01390000</t>
  </si>
  <si>
    <t>0.26050000</t>
  </si>
  <si>
    <t>0.23570000</t>
  </si>
  <si>
    <t>0.08150000</t>
  </si>
  <si>
    <t>0.08810000</t>
  </si>
  <si>
    <t>0.61000000</t>
  </si>
  <si>
    <t>0.41870000</t>
  </si>
  <si>
    <t>t.transaction_id,</t>
  </si>
  <si>
    <r>
      <t>c</t>
    </r>
    <r>
      <rPr>
        <sz val="10"/>
        <color rgb="FF000000"/>
        <rFont val="Consolas"/>
        <family val="3"/>
      </rPr>
      <t>.client_name,</t>
    </r>
  </si>
  <si>
    <r>
      <t>p</t>
    </r>
    <r>
      <rPr>
        <sz val="10"/>
        <color rgb="FF000000"/>
        <rFont val="Consolas"/>
        <family val="3"/>
      </rPr>
      <t>.platform_name,</t>
    </r>
  </si>
  <si>
    <r>
      <t>a</t>
    </r>
    <r>
      <rPr>
        <sz val="10"/>
        <color rgb="FF000000"/>
        <rFont val="Consolas"/>
        <family val="3"/>
      </rPr>
      <t>.asset_symbol,</t>
    </r>
  </si>
  <si>
    <r>
      <t>s</t>
    </r>
    <r>
      <rPr>
        <sz val="10"/>
        <color rgb="FF000000"/>
        <rFont val="Consolas"/>
        <family val="3"/>
      </rPr>
      <t>.status_name,</t>
    </r>
  </si>
  <si>
    <r>
      <t>cur</t>
    </r>
    <r>
      <rPr>
        <sz val="10"/>
        <color rgb="FF000000"/>
        <rFont val="Consolas"/>
        <family val="3"/>
      </rPr>
      <t>.currency_code,</t>
    </r>
  </si>
  <si>
    <r>
      <t>t</t>
    </r>
    <r>
      <rPr>
        <sz val="10"/>
        <color rgb="FF000000"/>
        <rFont val="Consolas"/>
        <family val="3"/>
      </rPr>
      <t>.transaction_date,</t>
    </r>
  </si>
  <si>
    <r>
      <t>t</t>
    </r>
    <r>
      <rPr>
        <sz val="10"/>
        <color rgb="FF000000"/>
        <rFont val="Consolas"/>
        <family val="3"/>
      </rPr>
      <t>.transaction_type,</t>
    </r>
  </si>
  <si>
    <r>
      <t>t</t>
    </r>
    <r>
      <rPr>
        <sz val="10"/>
        <color rgb="FF000000"/>
        <rFont val="Consolas"/>
        <family val="3"/>
      </rPr>
      <t>.amount,</t>
    </r>
  </si>
  <si>
    <r>
      <t>t</t>
    </r>
    <r>
      <rPr>
        <sz val="10"/>
        <color rgb="FF000000"/>
        <rFont val="Consolas"/>
        <family val="3"/>
      </rPr>
      <t>.buy_price,</t>
    </r>
  </si>
  <si>
    <r>
      <t>t</t>
    </r>
    <r>
      <rPr>
        <sz val="10"/>
        <color rgb="FF000000"/>
        <rFont val="Consolas"/>
        <family val="3"/>
      </rPr>
      <t>.buy_price_eur,</t>
    </r>
  </si>
  <si>
    <r>
      <t>t</t>
    </r>
    <r>
      <rPr>
        <sz val="10"/>
        <color rgb="FF000000"/>
        <rFont val="Consolas"/>
        <family val="3"/>
      </rPr>
      <t>.exchange_fee_eur,</t>
    </r>
  </si>
  <si>
    <r>
      <t>t</t>
    </r>
    <r>
      <rPr>
        <sz val="10"/>
        <color rgb="FF000000"/>
        <rFont val="Consolas"/>
        <family val="3"/>
      </rPr>
      <t>.service_fee_eur,</t>
    </r>
  </si>
  <si>
    <r>
      <t>t</t>
    </r>
    <r>
      <rPr>
        <sz val="10"/>
        <color rgb="FF000000"/>
        <rFont val="Consolas"/>
        <family val="3"/>
      </rPr>
      <t>.referral_bonus_eur</t>
    </r>
  </si>
  <si>
    <t>актуальний курс</t>
  </si>
  <si>
    <t>актуальна ціна евро</t>
  </si>
  <si>
    <t>профіт кілєнт брутто</t>
  </si>
  <si>
    <t>профіт кілєнт нетто</t>
  </si>
  <si>
    <t>профіт компанія</t>
  </si>
  <si>
    <t>ринкова вартість актуальна евро</t>
  </si>
  <si>
    <t>transaction_id|client_name|platform_name|asset_symbol|status_name|currency_code|transaction_date|transaction_type|amount    |buy_price      |buy_price_eur  |exchange_fee_eur|service_fee_eur|referral_bonus_eur|</t>
  </si>
  <si>
    <t>--------------+-----------+-------------+------------+-----------+-------------+----------------+----------------+----------+---------------+---------------+----------------+---------------+------------------+</t>
  </si>
  <si>
    <t xml:space="preserve">           293|Julia      |Coinbase     |ETH         |pending    |USD          |      2026-04-08|BUY             |0.30670000|  2257.89000000|  1953.70000000|      9.59000000|     1.82000000|        1.51000000|</t>
  </si>
  <si>
    <t xml:space="preserve">           292|Tom        |Binance      |BTC         |pending    |USD          |      2026-04-08|BUY             |0.01030000| 72123.88000000| 62407.35000000|      8.91000000|     2.01000000|        2.90000000|</t>
  </si>
  <si>
    <t xml:space="preserve">           291|Mark       |Binance      |ETH         |completed  |USD          |      2026-04-08|BUY             |0.21580000|  2259.90000000|  1955.44000000|      5.84000000|     4.02000000|        1.61000000|</t>
  </si>
  <si>
    <t xml:space="preserve">           290|Julia      |Binance      |BTC         |completed  |USD          |      2026-04-08|BUY             |0.01680000| 72005.55000000| 62304.97000000|      7.36000000|     1.89000000|        2.45000000|</t>
  </si>
  <si>
    <t xml:space="preserve">           289|David      |Coinbase     |ETH         |completed  |USD          |      2026-04-08|BUY             |0.23240000|  2266.68000000|  1961.31000000|      9.27000000|     1.77000000|        0.85000000|</t>
  </si>
  <si>
    <t xml:space="preserve">           288|Lisa       |Binance      |BTC         |completed  |USD          |      2026-04-08|BUY             |0.04400000| 72281.97000000| 62544.14000000|      3.70000000|     1.49000000|        0.47000000|</t>
  </si>
  <si>
    <t xml:space="preserve">           287|Lisa       |Coinbase     |ETH         |pending    |USD          |      2026-04-08|BUY             |0.07250000|  2263.88000000|  1958.89000000|      8.98000000|     3.83000000|        0.85000000|</t>
  </si>
  <si>
    <t xml:space="preserve">           286|Tom        |Kraken       |BTC         |pending    |USD          |      2026-04-08|BUY             |0.03140000| 72081.62000000| 62370.79000000|      7.68000000|     3.99000000|        1.75000000|</t>
  </si>
  <si>
    <t xml:space="preserve">           285|Lisa       |Coinbase     |ETH         |pending    |USD          |      2026-04-08|BUY             |0.07180000|  2258.70000000|  1954.41000000|      7.39000000|     1.76000000|        1.98000000|</t>
  </si>
  <si>
    <t xml:space="preserve">           284|Mark       |Coinbase     |BTC         |pending    |USD          |      2026-04-08|BUY             |0.03350000| 71861.64000000| 62180.44000000|      3.94000000|     3.32000000|        1.09000000|</t>
  </si>
  <si>
    <t xml:space="preserve">           283|Anna       |Binance      |ETH         |completed  |USD          |      2026-04-08|BUY             |0.30170000|  2260.05000000|  1955.58000000|      7.48000000|     3.27000000|        1.07000000|</t>
  </si>
  <si>
    <t xml:space="preserve">           282|Mark       |Coinbase     |BTC         |pending    |USD          |      2026-04-08|BUY             |0.03650000| 72256.14000000| 62521.79000000|      4.91000000|     2.76000000|        1.07000000|</t>
  </si>
  <si>
    <t xml:space="preserve">           281|David      |Kraken       |ETH         |completed  |USD          |      2026-04-08|BUY             |0.01700000|  2265.48000000|  1960.28000000|      9.64000000|     1.32000000|        1.23000000|</t>
  </si>
  <si>
    <t xml:space="preserve">           280|Lisa       |Kraken       |BTC         |completed  |USD          |      2026-04-08|BUY             |0.03080000| 72154.37000000| 62433.74000000|      8.09000000|     1.63000000|        1.00000000|</t>
  </si>
  <si>
    <t xml:space="preserve">           279|Tom        |Coinbase     |ETH         |completed  |USD          |      2026-04-08|BUY             |0.36230000|  2265.31000000|  1960.13000000|      4.56000000|     3.02000000|        0.94000000|</t>
  </si>
  <si>
    <t xml:space="preserve">           278|Anna       |Binance      |BTC         |pending    |USD          |      2026-04-08|BUY             |0.01460000| 72318.43000000| 62575.70000000|      9.62000000|     3.56000000|        0.32000000|</t>
  </si>
  <si>
    <t xml:space="preserve">           277|Tom        |Binance      |ETH         |completed  |USD          |      2026-04-08|BUY             |0.46960000|  2260.19000000|  1955.70000000|      9.60000000|     2.83000000|        1.41000000|</t>
  </si>
  <si>
    <t xml:space="preserve">           276|David      |Kraken       |BTC         |pending    |USD          |      2026-04-08|SELL            |0.00110000| 71467.72000000| 61839.59000000|      5.25000000|     4.66000000|        2.81000000|</t>
  </si>
  <si>
    <t xml:space="preserve">           275|Lisa       |Binance      |ETH         |completed  |USD          |      2026-04-08|BUY             |0.23030000|  2273.18000000|  1966.94000000|      5.38000000|     1.16000000|        2.98000000|</t>
  </si>
  <si>
    <t xml:space="preserve">           274|Tom        |Coinbase     |BTC         |pending    |USD          |      2026-04-08|BUY             |0.00710000| 72103.32000000| 62389.56000000|      8.95000000|     2.52000000|        2.75000000|</t>
  </si>
  <si>
    <t xml:space="preserve">           273|Lisa       |Coinbase     |ETH         |pending    |USD          |      2026-04-08|BUY             |0.23320000|  2263.32000000|  1958.41000000|      8.85000000|     2.23000000|        2.84000000|</t>
  </si>
  <si>
    <t xml:space="preserve">           272|David      |Kraken       |BTC         |completed  |USD          |      2026-04-08|BUY             |0.02540000| 72226.74000000| 62496.35000000|      9.16000000|     1.20000000|        0.95000000|</t>
  </si>
  <si>
    <t xml:space="preserve">           271|David      |Coinbase     |ETH         |pending    |USD          |      2026-04-08|BUY             |0.26000000|  2271.91000000|  1965.84000000|      5.96000000|     1.63000000|        2.02000000|</t>
  </si>
  <si>
    <t xml:space="preserve">           270|Mark       |Coinbase     |BTC         |completed  |USD          |      2026-04-08|BUY             |0.04790000| 72034.87000000| 62330.33000000|      4.69000000|     1.14000000|        0.17000000|</t>
  </si>
  <si>
    <t xml:space="preserve">           269|Tom        |Coinbase     |ETH         |pending    |USD          |      2026-04-08|BUY             |0.41650000|  2267.54000000|  1962.06000000|      9.65000000|     1.76000000|        1.70000000|</t>
  </si>
  <si>
    <t xml:space="preserve">           268|Julia      |Coinbase     |BTC         |completed  |USD          |      2026-04-08|BUY             |0.02160000| 71907.97000000| 62220.53000000|      3.02000000|     1.72000000|        2.94000000|</t>
  </si>
  <si>
    <t xml:space="preserve">           267|Mark       |Coinbase     |ETH         |completed  |USD          |      2026-04-08|BUY             |0.38010000|  2256.92000000|  1952.87000000|      7.38000000|     3.00000000|        0.89000000|</t>
  </si>
  <si>
    <t xml:space="preserve">           266|Julia      |Binance      |BTC         |completed  |USD          |      2026-04-08|BUY             |0.04560000| 72118.12000000| 62402.37000000|      2.48000000|     2.11000000|        2.98000000|</t>
  </si>
  <si>
    <t xml:space="preserve">           265|Mark       |Kraken       |ETH         |completed  |USD          |      2026-04-08|BUY             |0.33370000|  2252.81000000|  1949.32000000|      9.96000000|     1.19000000|        0.13000000|</t>
  </si>
  <si>
    <t xml:space="preserve">           264|David      |Binance      |BTC         |pending    |USD          |      2026-04-08|BUY             |0.01590000| 71917.64000000| 62228.89000000|      4.54000000|     2.48000000|        1.27000000|</t>
  </si>
  <si>
    <t xml:space="preserve">           263|Lisa       |Kraken       |ETH         |pending    |USD          |      2026-04-08|BUY             |0.45630000|  2265.69000000|  1960.46000000|      6.48000000|     4.39000000|        0.39000000|</t>
  </si>
  <si>
    <t xml:space="preserve">           262|Mark       |Coinbase     |BTC         |pending    |USD          |      2026-04-08|SELL            |0.00340000| 71393.27000000| 61775.17000000|      8.33000000|     4.32000000|        1.29000000|</t>
  </si>
  <si>
    <t xml:space="preserve">           261|Mark       |Kraken       |ETH         |completed  |USD          |      2026-04-08|BUY             |0.27510000|  2274.68000000|  1968.24000000|      6.62000000|     4.73000000|        2.52000000|</t>
  </si>
  <si>
    <t xml:space="preserve">           260|Anna       |Coinbase     |BTC         |pending    |USD          |      2026-04-08|BUY             |0.02890000| 71880.96000000| 62197.16000000|      5.73000000|     4.17000000|        2.93000000|</t>
  </si>
  <si>
    <t xml:space="preserve">           259|Lisa       |Binance      |ETH         |completed  |USD          |      2026-04-08|SELL            |0.01970000|  2231.69000000|  1931.04000000|      9.49000000|     1.40000000|        0.64000000|</t>
  </si>
  <si>
    <t xml:space="preserve">           258|Lisa       |Coinbase     |BTC         |pending    |USD          |      2026-04-08|BUY             |0.03820000| 71837.64000000| 62159.67000000|      4.39000000|     3.28000000|        2.96000000|</t>
  </si>
  <si>
    <t xml:space="preserve">           257|Lisa       |Binance      |ETH         |pending    |USD          |      2026-04-08|BUY             |0.26280000|  2264.47000000|  1959.40000000|      4.47000000|     1.18000000|        2.51000000|</t>
  </si>
  <si>
    <t xml:space="preserve">           256|Lisa       |Kraken       |BTC         |completed  |USD          |      2026-04-08|BUY             |0.00160000| 71777.32000000| 62107.48000000|      9.60000000|     2.06000000|        0.04000000|</t>
  </si>
  <si>
    <t xml:space="preserve">           255|Tom        |Coinbase     |ETH         |completed  |USD          |      2026-04-08|BUY             |0.03170000|  2256.55000000|  1952.55000000|      9.33000000|     4.76000000|        0.69000000|</t>
  </si>
  <si>
    <t xml:space="preserve">           254|Tom        |Coinbase     |BTC         |pending    |USD          |      2026-04-08|BUY             |0.00220000| 72071.14000000| 62361.72000000|      7.47000000|     2.44000000|        2.30000000|</t>
  </si>
  <si>
    <t xml:space="preserve">           253|Tom        |Binance      |ETH         |pending    |USD          |      2026-04-08|BUY             |0.17560000|  2245.96000000|  1943.39000000|      7.75000000|     2.66000000|        0.91000000|</t>
  </si>
  <si>
    <t xml:space="preserve">           252|Mark       |Coinbase     |BTC         |completed  |USD          |      2026-04-08|BUY             |0.00530000| 71896.86000000| 62210.91000000|      9.42000000|     2.55000000|        1.08000000|</t>
  </si>
  <si>
    <t xml:space="preserve">           251|Tom        |Coinbase     |ETH         |pending    |USD          |      2026-04-08|BUY             |0.06480000|  2257.39000000|  1953.28000000|      5.44000000|     2.24000000|        1.67000000|</t>
  </si>
  <si>
    <t xml:space="preserve">           250|Julia      |Kraken       |BTC         |completed  |USD          |      2026-04-08|BUY             |0.01280000| 72211.22000000| 62482.92000000|      4.00000000|     2.01000000|        1.25000000|</t>
  </si>
  <si>
    <t xml:space="preserve">           249|Julia      |Kraken       |ETH         |pending    |USD          |      2026-04-08|BUY             |0.44340000|  2266.48000000|  1961.14000000|      6.91000000|     4.15000000|        0.95000000|</t>
  </si>
  <si>
    <t xml:space="preserve">           248|Lisa       |Coinbase     |BTC         |completed  |USD          |      2026-04-08|BUY             |0.02440000| 71831.66000000| 62154.50000000|      5.02000000|     3.64000000|        0.38000000|</t>
  </si>
  <si>
    <t xml:space="preserve">           247|Lisa       |Kraken       |ETH         |completed  |USD          |      2026-04-08|BUY             |0.24570000|  2264.72000000|  1959.62000000|      9.78000000|     4.52000000|        1.37000000|</t>
  </si>
  <si>
    <t xml:space="preserve">           246|Julia      |Kraken       |BTC         |pending    |USD          |      2026-04-08|BUY             |0.03850000| 72176.86000000| 62453.19000000|      5.85000000|     4.61000000|        1.83000000|</t>
  </si>
  <si>
    <t xml:space="preserve">           245|Lisa       |Binance      |ETH         |completed  |USD          |      2026-04-08|BUY             |0.32820000|  2257.83000000|  1953.66000000|      9.39000000|     1.78000000|        1.69000000|</t>
  </si>
  <si>
    <t xml:space="preserve">           244|Tom        |Coinbase     |BTC         |pending    |USD          |      2026-04-08|BUY             |0.01240000| 72022.05000000| 62319.24000000|      2.27000000|     1.50000000|        1.71000000|</t>
  </si>
  <si>
    <t xml:space="preserve">           243|David      |Kraken       |ETH         |completed  |USD          |      2026-04-08|BUY             |0.07020000|  2250.78000000|  1947.55000000|      5.84000000|     1.75000000|        0.01000000|</t>
  </si>
  <si>
    <t xml:space="preserve">           242|Julia      |Binance      |BTC         |pending    |USD          |      2026-04-08|BUY             |0.02750000| 71910.55000000| 62222.76000000|      3.56000000|     3.49000000|        2.81000000|</t>
  </si>
  <si>
    <t xml:space="preserve">           241|David      |Coinbase     |ETH         |pending    |USD          |      2026-04-08|BUY             |0.29030000|  2274.01000000|  1967.65000000|      7.14000000|     4.71000000|        1.23000000|</t>
  </si>
  <si>
    <t xml:space="preserve">           240|David      |Coinbase     |BTC         |completed  |USD          |      2026-04-08|BUY             |0.01330000| 72259.12000000| 62524.37000000|      9.56000000|     4.32000000|        0.24000000|</t>
  </si>
  <si>
    <t xml:space="preserve">           239|David      |Kraken       |ETH         |completed  |USD          |      2026-04-08|BUY             |0.46590000|  2270.13000000|  1964.30000000|      4.88000000|     2.55000000|        2.28000000|</t>
  </si>
  <si>
    <t xml:space="preserve">           238|Tom        |Kraken       |BTC         |completed  |USD          |      2026-04-08|BUY             |0.00720000| 72351.19000000| 62604.03000000|      4.54000000|     4.17000000|        2.39000000|</t>
  </si>
  <si>
    <t xml:space="preserve">           237|Mark       |Coinbase     |ETH         |pending    |USD          |      2026-04-08|BUY             |0.24030000|  2269.54000000|  1963.79000000|      5.91000000|     2.64000000|        2.73000000|</t>
  </si>
  <si>
    <t xml:space="preserve">           236|Anna       |Coinbase     |BTC         |completed  |USD          |      2026-04-08|BUY             |0.01310000| 72140.96000000| 62422.13000000|      6.77000000|     2.28000000|        0.09000000|</t>
  </si>
  <si>
    <t xml:space="preserve">           235|Tom        |Kraken       |ETH         |pending    |USD          |      2026-04-08|BUY             |0.38590000|  2246.38000000|  1943.75000000|      9.35000000|     1.29000000|        0.81000000|</t>
  </si>
  <si>
    <t xml:space="preserve">           234|Tom        |Binance      |BTC         |pending    |USD          |      2026-04-08|BUY             |0.02810000| 72082.81000000| 62371.82000000|      9.66000000|     3.83000000|        1.08000000|</t>
  </si>
  <si>
    <t xml:space="preserve">           233|Anna       |Coinbase     |ETH         |completed  |USD          |      2026-04-08|BUY             |0.49160000|  2263.85000000|  1958.87000000|      6.78000000|     4.65000000|        1.28000000|</t>
  </si>
  <si>
    <t xml:space="preserve">           232|Lisa       |Kraken       |BTC         |pending    |USD          |      2026-04-08|BUY             |0.03650000| 72248.77000000| 62515.42000000|      4.76000000|     3.93000000|        1.15000000|</t>
  </si>
  <si>
    <t xml:space="preserve">           231|Lisa       |Binance      |ETH         |pending    |USD          |      2026-04-08|BUY             |0.11890000|  2271.28000000|  1965.29000000|      8.31000000|     2.12000000|        1.39000000|</t>
  </si>
  <si>
    <t xml:space="preserve">           230|Lisa       |Coinbase     |BTC         |completed  |USD          |      2026-04-08|BUY             |0.01500000| 72059.32000000| 62351.49000000|      9.16000000|     2.43000000|        0.83000000|</t>
  </si>
  <si>
    <t xml:space="preserve">           229|Anna       |Kraken       |ETH         |completed  |USD          |      2026-04-08|BUY             |0.09920000|  2263.47000000|  1958.54000000|      4.46000000|     1.42000000|        2.78000000|</t>
  </si>
  <si>
    <t xml:space="preserve">           228|Tom        |Coinbase     |BTC         |completed  |USD          |      2026-04-08|BUY             |0.01090000| 71690.02000000| 62031.94000000|      4.10000000|     3.69000000|        1.96000000|</t>
  </si>
  <si>
    <t xml:space="preserve">           227|David      |Coinbase     |ETH         |completed  |USD          |      2026-04-08|BUY             |0.15290000|  2262.43000000|  1957.63000000|      9.55000000|     3.99000000|        0.59000000|</t>
  </si>
  <si>
    <t xml:space="preserve">           226|Mark       |Coinbase     |BTC         |completed  |USD          |      2026-04-08|BUY             |0.02370000| 72220.11000000| 62490.62000000|      4.08000000|     2.82000000|        1.11000000|</t>
  </si>
  <si>
    <t xml:space="preserve">           225|David      |Binance      |ETH         |completed  |USD          |      2026-04-08|BUY             |0.38340000|  2261.91000000|  1957.19000000|      5.10000000|     2.13000000|        2.64000000|</t>
  </si>
  <si>
    <t xml:space="preserve">           224|Tom        |Kraken       |BTC         |pending    |USD          |      2026-04-08|BUY             |0.04120000| 71713.53000000| 62052.29000000|      2.18000000|     4.30000000|        2.90000000|</t>
  </si>
  <si>
    <t xml:space="preserve">           223|Mark       |Binance      |BTC         |completed  |USD          |      2026-04-06|BUY             |0.03010000| 70229.25000000| 60936.51000000|      6.29000000|     2.41000000|        0.39000000|</t>
  </si>
  <si>
    <t xml:space="preserve">           222|Julia      |Kraken       |ETH         |pending    |USD          |      2026-04-06|BUY             |0.24120000|  2175.53000000|  1887.66000000|      5.36000000|     1.70000000|        2.62000000|</t>
  </si>
  <si>
    <t xml:space="preserve">           221|Anna       |Coinbase     |BTC         |pending    |USD          |      2026-04-06|BUY             |0.03380000| 70057.87000000| 60787.82000000|      9.49000000|     4.48000000|        1.51000000|</t>
  </si>
  <si>
    <t xml:space="preserve">           220|Mark       |Kraken       |BTC         |pending    |USD          |      2026-04-06|BUY             |0.02700000| 70673.93000000| 61322.36000000|      5.06000000|     4.44000000|        1.27000000|</t>
  </si>
  <si>
    <t xml:space="preserve">           219|David      |Coinbase     |ETH         |completed  |USD          |      2026-04-06|BUY             |0.30400000|  2170.32000000|  1883.14000000|      2.33000000|     1.08000000|        0.04000000|</t>
  </si>
  <si>
    <t xml:space="preserve">           218|David      |Coinbase     |BTC         |pending    |USD          |      2026-04-06|BUY             |0.01740000| 70551.41000000| 61216.05000000|      2.07000000|     3.07000000|        2.35000000|</t>
  </si>
  <si>
    <t xml:space="preserve">           217|Anna       |Coinbase     |BTC         |pending    |USD          |      2026-04-06|BUY             |0.03170000| 70210.14000000| 60919.93000000|      4.68000000|     1.30000000|        2.36000000|</t>
  </si>
  <si>
    <t xml:space="preserve">           216|Lisa       |Coinbase     |BTC         |completed  |USD          |      2026-04-06|BUY             |0.00410000| 70465.67000000| 61141.66000000|      7.45000000|     4.67000000|        0.46000000|</t>
  </si>
  <si>
    <t xml:space="preserve">           215|Julia      |Coinbase     |ETH         |pending    |USD          |      2026-04-06|BUY             |0.04780000|  2183.64000000|  1894.70000000|      6.73000000|     1.50000000|        2.75000000|</t>
  </si>
  <si>
    <t xml:space="preserve">           214|Anna       |Binance      |ETH         |completed  |USD          |      2026-04-06|BUY             |0.26870000|  2173.36000000|  1885.78000000|      3.27000000|     2.82000000|        1.50000000|</t>
  </si>
  <si>
    <t xml:space="preserve">           213|Mark       |Coinbase     |ETH         |completed  |USD          |      2026-04-06|BUY             |0.21120000|  2185.84000000|  1896.61000000|      6.73000000|     3.13000000|        0.75000000|</t>
  </si>
  <si>
    <t xml:space="preserve">           212|Anna       |Binance      |BTC         |pending    |USD          |      2026-04-06|BUY             |0.03780000| 70247.67000000| 60952.50000000|      6.83000000|     4.13000000|        2.30000000|</t>
  </si>
  <si>
    <t xml:space="preserve">           211|Julia      |Coinbase     |BTC         |completed  |USD          |      2026-04-04|SELL            |0.00000000| 66840.78000000| 57996.41000000|      6.81000000|     1.04000000|        1.01000000|</t>
  </si>
  <si>
    <t xml:space="preserve">           210|David      |Binance      |ETH         |pending    |USD          |      2026-04-01|BUY             |0.01320000|  2109.75000000|  1817.97000000|      5.01000000|     1.85000000|        1.77000000|</t>
  </si>
  <si>
    <t xml:space="preserve">           209|Tom        |Kraken       |BTC         |pending    |USD          |      2026-03-31|BUY             |0.04120000| 67158.14000000| 58408.78000000|      3.23000000|     2.29000000|        0.20000000|</t>
  </si>
  <si>
    <t xml:space="preserve">           208|Lisa       |Coinbase     |ETH         |pending    |USD          |      2026-03-30|SELL            |0.43040000|  1966.57000000|  1712.45000000|      9.04000000|     4.88000000|        0.94000000|</t>
  </si>
  <si>
    <t xml:space="preserve">           207|Tom        |Kraken       |BTC         |completed  |USD          |      2026-03-30|SELL            |0.01960000| 65401.16000000| 56950.02000000|      8.90000000|     1.39000000|        0.59000000|</t>
  </si>
  <si>
    <t xml:space="preserve">           206|Anna       |Coinbase     |BTC         |completed  |USD          |      2026-03-28|SELL            |0.02080000| 66035.72000000| 57337.49000000|      3.05000000|     3.09000000|        2.23000000|</t>
  </si>
  <si>
    <t xml:space="preserve">           205|Tom        |Coinbase     |BTC         |pending    |USD          |      2026-03-22|BUY             |0.01970000| 69146.83000000| 59841.74000000|      3.82000000|     3.52000000|        2.01000000|</t>
  </si>
  <si>
    <t xml:space="preserve">           204|Tom        |Binance      |BTC         |pending    |USD          |      2026-03-21|SELL            |0.03560000| 70448.09000000| 60967.89000000|      9.32000000|     1.15000000|        0.51000000|</t>
  </si>
  <si>
    <t xml:space="preserve">           203|Anna       |Coinbase     |ETH         |pending    |USD          |      2026-03-16|SELL            |0.44760000|  2166.98000000|  1887.94000000|      6.17000000|     3.95000000|        2.05000000|</t>
  </si>
  <si>
    <t xml:space="preserve">           202|David      |Coinbase     |BTC         |completed  |USD          |      2026-03-13|SELL            |0.00250000| 70154.34000000| 61131.08000000|      2.38000000|     2.33000000|        0.89000000|</t>
  </si>
  <si>
    <t xml:space="preserve">           201|Mark       |Coinbase     |BTC         |pending    |USD          |      2026-03-11|BUY             |0.01540000| 70374.53000000| 60767.00000000|      4.42000000|     2.92000000|        0.54000000|</t>
  </si>
  <si>
    <t xml:space="preserve">           200|Julia      |Binance      |ETH         |pending    |USD          |      2026-03-10|BUY             |0.45410000|  1998.99000000|  1717.19000000|      8.20000000|     3.09000000|        0.52000000|</t>
  </si>
  <si>
    <t xml:space="preserve">           199|Julia      |Kraken       |BTC         |completed  |USD          |      2026-03-09|SELL            |0.00560000| 65633.02000000| 56800.78000000|      3.92000000|     4.71000000|        2.21000000|</t>
  </si>
  <si>
    <t xml:space="preserve">           198|Julia      |Kraken       |BTC         |pending    |USD          |      2026-03-08|BUY             |0.03920000| 67854.11000000| 58692.45000000|      3.58000000|     3.28000000|        0.97000000|</t>
  </si>
  <si>
    <t xml:space="preserve">           197|Lisa       |Coinbase     |ETH         |completed  |USD          |      2026-03-07|BUY             |0.43630000|  1994.31000000|  1725.03000000|      3.13000000|     3.89000000|        1.52000000|</t>
  </si>
  <si>
    <t xml:space="preserve">           196|Julia      |Kraken       |BTC         |completed  |USD          |      2026-03-07|SELL            |0.00860000| 67858.96000000| 58696.64000000|      2.59000000|     2.70000000|        0.00000000|</t>
  </si>
  <si>
    <t xml:space="preserve">           195|Julia      |Binance      |BTC         |pending    |USD          |      2026-03-06|BUY             |0.03140000| 70984.88000000| 61400.50000000|      3.70000000|     1.05000000|        2.34000000|</t>
  </si>
  <si>
    <t xml:space="preserve">           194|Tom        |Coinbase     |BTC         |completed  |USD          |      2026-03-02|BUY             |0.01480000| 65816.19000000| 56262.97000000|      4.71000000|     4.94000000|        2.36000000|</t>
  </si>
  <si>
    <t xml:space="preserve">           193|Anna       |Coinbase     |ETH         |pending    |USD          |      2026-02-28|SELL            |0.06960000|  1926.61000000|  1632.03000000|      6.12000000|     3.27000000|        1.08000000|</t>
  </si>
  <si>
    <t xml:space="preserve">           192|Tom        |Kraken       |BTC         |completed  |USD          |      2026-02-24|BUY             |0.03460000| 64903.64000000| 55110.33000000|      2.44000000|     2.87000000|        2.56000000|</t>
  </si>
  <si>
    <t xml:space="preserve">           191|David      |Kraken       |ETH         |pending    |USD          |      2026-02-20|SELL            |0.07420000|  1935.37000000|  1644.74000000|      3.08000000|     4.17000000|        1.32000000|</t>
  </si>
  <si>
    <t xml:space="preserve">           190|David      |Binance      |BTC         |pending    |USD          |      2026-02-18|SELL            |0.04450000| 67130.92000000| 56674.60000000|      8.13000000|     2.15000000|        2.39000000|</t>
  </si>
  <si>
    <t xml:space="preserve">           189|Tom        |Coinbase     |BTC         |completed  |USD          |      2026-02-16|BUY             |0.03250000| 68877.67000000| 58100.38000000|      7.54000000|     3.84000000|        2.14000000|</t>
  </si>
  <si>
    <t xml:space="preserve">           188|Julia      |Coinbase     |BTC         |pending    |USD          |      2026-02-12|SELL            |0.00140000| 66427.31000000| 55943.76000000|      2.52000000|     1.33000000|        0.45000000|</t>
  </si>
  <si>
    <t xml:space="preserve">           187|Julia      |Kraken       |BTC         |pending    |USD          |      2026-02-10|SELL            |0.00180000| 69424.45000000| 58369.30000000|      6.49000000|     1.85000000|        2.32000000|</t>
  </si>
  <si>
    <t xml:space="preserve">           186|Lisa       |Kraken       |BTC         |pending    |USD          |      2026-02-08|BUY             |0.03810000| 69787.46000000| 59172.08000000|      4.57000000|     4.92000000|        1.93000000|</t>
  </si>
  <si>
    <t xml:space="preserve">           185|Mark       |Binance      |BTC         |pending    |USD          |      2026-02-05|SELL            |0.02510000| 72757.94000000| 61669.63000000|      2.81000000|     4.11000000|        2.90000000|</t>
  </si>
  <si>
    <t xml:space="preserve">           184|Tom        |Kraken       |ETH         |pending    |USD          |      2026-02-04|BUY             |0.36090000|  2230.79000000|  1887.29000000|      9.26000000|     4.78000000|        1.87000000|</t>
  </si>
  <si>
    <t xml:space="preserve">           183|David      |Binance      |BTC         |completed  |USD          |      2026-02-04|SELL            |0.00480000| 75045.18000000| 63489.72000000|      8.99000000|     4.40000000|        1.63000000|</t>
  </si>
  <si>
    <t xml:space="preserve">           182|Anna       |Binance      |ETH         |completed  |USD          |      2026-02-02|SELL            |0.15790000|  2265.71000000|  1913.60000000|      4.54000000|     4.08000000|        2.37000000|</t>
  </si>
  <si>
    <t xml:space="preserve">           181|Lisa       |Binance      |BTC         |pending    |USD          |      2026-02-01|SELL            |0.04710000| 78212.20000000| 65620.03000000|      7.79000000|     2.89000000|        1.50000000|</t>
  </si>
  <si>
    <t xml:space="preserve">           180|David      |Coinbase     |ETH         |pending    |USD          |      2026-01-31|SELL            |0.43340000|  2695.66000000|  2261.66000000|      7.68000000|     2.90000000|        0.43000000|</t>
  </si>
  <si>
    <t xml:space="preserve">           179|Anna       |Binance      |ETH         |pending    |USD          |      2026-01-30|BUY             |0.07150000|  2833.95000000|  2377.68000000|      8.91000000|     3.94000000|        0.46000000|</t>
  </si>
  <si>
    <t xml:space="preserve">           178|Julia      |Coinbase     |BTC         |pending    |USD          |      2026-01-30|SELL            |0.00600000| 84330.66000000| 70753.42000000|      6.47000000|     1.55000000|        1.43000000|</t>
  </si>
  <si>
    <t xml:space="preserve">           177|Tom        |Kraken       |BTC         |completed  |USD          |      2026-01-28|SELL            |0.00450000| 88573.37000000| 73971.17000000|      5.62000000|     2.30000000|        0.77000000|</t>
  </si>
  <si>
    <t xml:space="preserve">           176|Anna       |Kraken       |ETH         |completed  |USD          |      2026-01-27|SELL            |0.28300000|  2920.83000000|  2448.50000000|      7.10000000|     2.46000000|        1.05000000|</t>
  </si>
  <si>
    <t xml:space="preserve">           175|Anna       |Binance      |BTC         |completed  |USD          |      2026-01-24|SELL            |0.00100000| 88932.28000000| 75738.29000000|      2.42000000|     4.22000000|        0.90000000|</t>
  </si>
  <si>
    <t xml:space="preserve">           174|Julia      |Coinbase     |BTC         |completed  |USD          |      2026-01-23|SELL            |0.00420000| 89258.10000000| 76015.76000000|      9.76000000|     1.40000000|        2.00000000|</t>
  </si>
  <si>
    <t xml:space="preserve">           173|Mark       |Binance      |ETH         |pending    |USD          |      2026-01-21|SELL            |0.00000000|  2921.45000000|  2488.67000000|      2.65000000|     1.39000000|        2.69000000|</t>
  </si>
  <si>
    <t xml:space="preserve">           172|Tom        |Coinbase     |BTC         |pending    |USD          |      2026-01-21|BUY             |0.00510000| 89050.43000000| 75858.50000000|      9.19000000|     3.06000000|        1.17000000|</t>
  </si>
  <si>
    <t xml:space="preserve">           171|Tom        |Binance      |ETH         |completed  |USD          |      2026-01-20|SELL            |0.03870000|  3163.41000000|  2697.32000000|      8.70000000|     2.05000000|        1.37000000|</t>
  </si>
  <si>
    <t xml:space="preserve">           170|Tom        |Coinbase     |ETH         |pending    |USD          |      2026-01-19|BUY             |0.24190000|  3302.80000000|  2839.65000000|      3.77000000|     2.65000000|        2.27000000|</t>
  </si>
  <si>
    <t xml:space="preserve">           169|Anna       |Kraken       |ETH         |completed  |USD          |      2026-01-17|BUY             |0.16740000|  3327.46000000|  2864.31000000|      9.69000000|     2.84000000|        1.62000000|</t>
  </si>
  <si>
    <t xml:space="preserve">           168|Tom        |Coinbase     |ETH         |completed  |USD          |      2026-01-15|SELL            |0.05340000|  3323.95000000|  2859.56000000|      9.95000000|     3.04000000|        1.96000000|</t>
  </si>
  <si>
    <t xml:space="preserve">           167|David      |Kraken       |BTC         |completed  |USD          |      2026-01-15|SELL            |0.01440000| 96323.44000000| 82866.09000000|      2.67000000|     3.47000000|        1.69000000|</t>
  </si>
  <si>
    <t xml:space="preserve">           166|Anna       |Binance      |ETH         |pending    |USD          |      2026-01-13|SELL            |0.07690000|  3073.54000000|  2637.32000000|      4.21000000|     3.51000000|        0.64000000|</t>
  </si>
  <si>
    <t xml:space="preserve">           165|Mark       |Kraken       |ETH         |completed  |USD          |      2026-01-12|BUY             |0.43730000|  3124.90000000|  2672.70000000|      7.62000000|     1.96000000|        0.75000000|</t>
  </si>
  <si>
    <t xml:space="preserve">           164|Mark       |Binance      |ETH         |pending    |USD          |      2026-01-11|SELL            |0.00000000|  3067.82000000|  2635.13000000|      2.20000000|     1.10000000|        2.72000000|</t>
  </si>
  <si>
    <t xml:space="preserve">           163|Lisa       |Coinbase     |BTC         |completed  |USD          |      2026-01-11|BUY             |0.02310000| 90923.21000000| 78099.40000000|      6.95000000|     4.95000000|        1.20000000|</t>
  </si>
  <si>
    <t xml:space="preserve">           162|Lisa       |Coinbase     |ETH         |pending    |USD          |      2026-01-10|BUY             |0.07650000|  3112.63000000|  2673.62000000|      9.01000000|     4.10000000|        2.05000000|</t>
  </si>
  <si>
    <t xml:space="preserve">           161|Anna       |Binance      |ETH         |pending    |USD          |      2026-01-03|SELL            |0.37890000|  3104.87000000|  2648.99000000|      3.85000000|     4.04000000|        2.08000000|</t>
  </si>
  <si>
    <t xml:space="preserve">           160|Tom        |Coinbase     |ETH         |pending    |USD          |      2026-01-02|BUY             |0.35150000|  3028.02000000|  2583.41000000|      8.89000000|     3.96000000|        2.53000000|</t>
  </si>
  <si>
    <t xml:space="preserve">           159|Tom        |Kraken       |BTC         |pending    |USD          |      2026-01-01|SELL            |0.01100000| 86878.21000000| 73938.57000000|      3.12000000|     3.99000000|        1.79000000|</t>
  </si>
  <si>
    <t xml:space="preserve">           158|Mark       |Binance      |ETH         |completed  |USD          |      2025-12-29|SELL            |0.00940000|  2926.87000000|  2487.58000000|      4.43000000|     2.91000000|        0.37000000|</t>
  </si>
  <si>
    <t xml:space="preserve">           157|David      |Kraken       |ETH         |completed  |USD          |      2025-12-28|BUY             |0.35040000|  2966.23000000|  2516.52000000|      7.68000000|     2.39000000|        1.01000000|</t>
  </si>
  <si>
    <t xml:space="preserve">           156|Lisa       |Coinbase     |BTC         |pending    |USD          |      2025-12-26|SELL            |0.00140000| 87108.16000000| 73901.69000000|      6.43000000|     3.39000000|        0.01000000|</t>
  </si>
  <si>
    <t xml:space="preserve">           155|Tom        |Kraken       |BTC         |completed  |USD          |      2025-12-21|SELL            |0.03860000| 87903.73000000| 75054.85000000|      2.52000000|     1.30000000|        2.07000000|</t>
  </si>
  <si>
    <t xml:space="preserve">           154|Tom        |Binance      |ETH         |pending    |USD          |      2025-12-20|BUY             |0.29530000|  3001.66000000|  2562.90000000|      3.65000000|     1.02000000|        1.19000000|</t>
  </si>
  <si>
    <t xml:space="preserve">           153|Lisa       |Kraken       |BTC         |completed  |USD          |      2025-12-20|BUY             |0.03530000| 88386.40000000| 75466.96000000|      5.79000000|     1.71000000|        1.21000000|</t>
  </si>
  <si>
    <t xml:space="preserve">           152|David      |Kraken       |ETH         |completed  |USD          |      2025-12-14|SELL            |0.05800000|  3093.55000000|  2637.06000000|      2.36000000|     1.68000000|        1.58000000|</t>
  </si>
  <si>
    <t xml:space="preserve">           151|Lisa       |Kraken       |ETH         |pending    |USD          |      2025-12-13|BUY             |0.31400000|  3104.36000000|  2646.28000000|      6.43000000|     2.73000000|        2.38000000|</t>
  </si>
  <si>
    <t xml:space="preserve">           150|Julia      |Coinbase     |BTC         |completed  |USD          |      2025-12-11|SELL            |0.01720000| 91408.61000000| 78033.70000000|      9.67000000|     1.90000000|        1.93000000|</t>
  </si>
  <si>
    <t xml:space="preserve">           149|Anna       |Binance      |BTC         |pending    |USD          |      2025-12-07|SELL            |0.00740000| 88396.56000000| 75909.66000000|      4.40000000|     1.87000000|        1.16000000|</t>
  </si>
  <si>
    <t xml:space="preserve">           148|Julia      |Binance      |BTC         |pending    |USD          |      2025-12-04|BUY             |0.00810000| 94065.33000000| 80631.86000000|      5.08000000|     1.64000000|        1.58000000|</t>
  </si>
  <si>
    <t xml:space="preserve">           147|Lisa       |Binance      |BTC         |pending    |USD          |      2025-12-03|SELL            |0.00200000| 90839.28000000| 77852.90000000|      2.13000000|     2.05000000|        0.15000000|</t>
  </si>
  <si>
    <t xml:space="preserve">           146|David      |Kraken       |BTC         |pending    |USD          |      2025-12-02|BUY             |0.02840000| 86867.23000000| 74795.28000000|      4.91000000|     2.39000000|        2.65000000|</t>
  </si>
  <si>
    <t xml:space="preserve">           145|Julia      |Coinbase     |ETH         |completed  |USD          |      2025-11-30|SELL            |0.03170000|  2970.61000000|  2568.39000000|      8.06000000|     4.26000000|        2.40000000|</t>
  </si>
  <si>
    <t xml:space="preserve">           144|Tom        |Kraken       |BTC         |pending    |USD          |      2025-11-30|BUY             |0.03510000| 91531.34000000| 79138.00000000|      9.95000000|     1.04000000|        2.89000000|</t>
  </si>
  <si>
    <t xml:space="preserve">           143|Mark       |Binance      |BTC         |pending    |USD          |      2025-11-27|BUY             |0.03930000| 91212.75000000| 78726.64000000|      6.42000000|     3.70000000|        0.95000000|</t>
  </si>
  <si>
    <t xml:space="preserve">           142|David      |Kraken       |BTC         |pending    |USD          |      2025-11-26|BUY             |0.03510000| 87944.16000000| 75964.41000000|      6.58000000|     3.59000000|        1.91000000|</t>
  </si>
  <si>
    <t xml:space="preserve">           141|Tom        |Binance      |ETH         |completed  |USD          |      2025-11-23|BUY             |0.05740000|  2786.25000000|  2418.63000000|      4.02000000|     1.68000000|        0.52000000|</t>
  </si>
  <si>
    <t xml:space="preserve">           140|Julia      |Kraken       |ETH         |completed  |USD          |      2025-11-22|BUY             |0.01880000|  2768.97000000|  2403.63000000|      6.47000000|     3.96000000|        0.87000000|</t>
  </si>
  <si>
    <t xml:space="preserve">           139|Mark       |Coinbase     |ETH         |pending    |USD          |      2025-11-21|BUY             |0.19400000|  2847.19000000|  2471.53000000|      5.08000000|     3.71000000|        0.09000000|</t>
  </si>
  <si>
    <t xml:space="preserve">           138|Anna       |Binance      |BTC         |pending    |USD          |      2025-11-21|BUY             |0.00870000| 87319.33000000| 75798.42000000|      5.01000000|     3.61000000|        1.04000000|</t>
  </si>
  <si>
    <t xml:space="preserve">           137|Lisa       |Coinbase     |BTC         |completed  |USD          |      2025-11-19|SELL            |0.04010000| 92225.30000000| 79620.87000000|      5.16000000|     3.22000000|        2.32000000|</t>
  </si>
  <si>
    <t xml:space="preserve">           136|Julia      |Binance      |BTC         |completed  |USD          |      2025-11-18|SELL            |0.00110000| 91218.65000000| 78704.36000000|      7.42000000|     3.63000000|        0.96000000|</t>
  </si>
  <si>
    <t xml:space="preserve">           135|Lisa       |Binance      |ETH         |pending    |USD          |      2025-11-16|SELL            |0.25090000|  3150.42000000|  2704.70000000|      2.38000000|     4.61000000|        0.97000000|</t>
  </si>
  <si>
    <t xml:space="preserve">           134|Tom        |Binance      |ETH         |completed  |USD          |      2025-11-15|BUY             |0.34270000|  3117.12000000|  2676.11000000|      5.94000000|     3.83000000|        2.57000000|</t>
  </si>
  <si>
    <t xml:space="preserve">           133|Anna       |Coinbase     |ETH         |completed  |USD          |      2025-11-14|BUY             |0.44210000|  3246.01000000|  2786.76000000|      6.13000000|     4.36000000|        1.31000000|</t>
  </si>
  <si>
    <t xml:space="preserve">           132|David      |Binance      |ETH         |pending    |USD          |      2025-11-13|BUY             |0.10050000|  3427.39000000|  2949.82000000|      2.87000000|     1.98000000|        0.08000000|</t>
  </si>
  <si>
    <t xml:space="preserve">           131|David      |Coinbase     |BTC         |pending    |USD          |      2025-11-11|SELL            |0.01450000|104980.72000000| 90695.99000000|      7.46000000|     2.13000000|        2.62000000|</t>
  </si>
  <si>
    <t xml:space="preserve">           130|Lisa       |Kraken       |ETH         |completed  |USD          |      2025-11-10|BUY             |0.07140000|  3583.79000000|  3097.23000000|      5.54000000|     2.74000000|        0.30000000|</t>
  </si>
  <si>
    <t xml:space="preserve">           129|Julia      |Coinbase     |BTC         |pending    |USD          |      2025-11-10|BUY             |0.02830000|105363.00000000| 91057.87000000|      6.84000000|     1.53000000|        2.48000000|</t>
  </si>
  <si>
    <t xml:space="preserve">           128|Julia      |Kraken       |ETH         |pending    |USD          |      2025-11-03|BUY             |0.29740000|  3948.44000000|  3429.26000000|      9.23000000|     1.51000000|        2.04000000|</t>
  </si>
  <si>
    <t xml:space="preserve">           127|Tom        |Kraken       |BTC         |pending    |USD          |      2025-10-31|BUY             |0.02200000|108778.11000000| 94147.45000000|      6.88000000|     4.39000000|        0.25000000|</t>
  </si>
  <si>
    <t xml:space="preserve">           126|Julia      |Kraken       |BTC         |completed  |USD          |      2025-10-28|BUY             |0.00740000|114881.71000000| 98781.04000000|      2.01000000|     2.28000000|        0.27000000|</t>
  </si>
  <si>
    <t xml:space="preserve">           125|David      |Coinbase     |BTC         |pending    |USD          |      2025-10-24|BUY             |0.01960000|110958.00000000| 95554.81000000|      9.54000000|     3.70000000|        0.54000000|</t>
  </si>
  <si>
    <t xml:space="preserve">           124|Mark       |Coinbase     |ETH         |completed  |USD          |      2025-10-23|SELL            |0.03440000|  3773.60000000|  3255.07000000|      8.98000000|     2.47000000|        2.22000000|</t>
  </si>
  <si>
    <t xml:space="preserve">           123|Tom        |Binance      |ETH         |completed  |USD          |      2025-10-19|SELL            |0.03110000|  3859.40000000|  3303.99000000|      9.46000000|     4.08000000|        0.88000000|</t>
  </si>
  <si>
    <t xml:space="preserve">           122|Tom        |Kraken       |BTC         |pending    |USD          |      2025-10-19|SELL            |0.00040000|106782.87000000| 91415.75000000|      2.70000000|     1.04000000|        1.95000000|</t>
  </si>
  <si>
    <t xml:space="preserve">           121|Mark       |Kraken       |BTC         |pending    |USD          |      2025-10-18|SELL            |0.00280000|105408.55000000| 90239.20000000|      9.53000000|     4.19000000|        2.27000000|</t>
  </si>
  <si>
    <t xml:space="preserve">           120|Anna       |Coinbase     |ETH         |pending    |USD          |      2025-10-17|BUY             |0.38600000|  3914.71000000|  3351.34000000|      7.98000000|     4.47000000|        0.42000000|</t>
  </si>
  <si>
    <t xml:space="preserve">           119|David      |Coinbase     |BTC         |completed  |USD          |      2025-10-16|BUY             |0.03940000|111520.41000000| 95733.58000000|      2.80000000|     4.76000000|        0.35000000|</t>
  </si>
  <si>
    <t xml:space="preserve">           118|Lisa       |Binance      |ETH         |completed  |USD          |      2025-10-11|BUY             |0.41380000|  3861.87000000|  3338.39000000|      8.07000000|     1.41000000|        0.04000000|</t>
  </si>
  <si>
    <t xml:space="preserve">           117|Mark       |Coinbase     |ETH         |completed  |USD          |      2025-10-09|BUY             |0.33260000|  4534.45000000|  3905.30000000|      9.85000000|     3.25000000|        1.07000000|</t>
  </si>
  <si>
    <t xml:space="preserve">           116|Mark       |Kraken       |BTC         |completed  |USD          |      2025-10-09|SELL            |0.00270000|122976.96000000|105913.91000000|      6.59000000|     2.91000000|        2.46000000|</t>
  </si>
  <si>
    <t xml:space="preserve">           115|Mark       |Kraken       |ETH         |completed  |USD          |      2025-10-07|SELL            |0.26970000|  4648.31000000|  3984.48000000|      4.98000000|     1.79000000|        0.12000000|</t>
  </si>
  <si>
    <t xml:space="preserve">           114|Julia      |Coinbase     |BTC         |pending    |USD          |      2025-10-06|SELL            |0.01810000|122760.70000000|105121.21000000|      2.99000000|     1.09000000|        0.09000000|</t>
  </si>
  <si>
    <t xml:space="preserve">           113|Anna       |Coinbase     |ETH         |pending    |USD          |      2025-10-05|BUY             |0.45270000|  4507.42000000|  3841.31000000|      9.01000000|     3.20000000|        2.90000000|</t>
  </si>
  <si>
    <t xml:space="preserve">           112|David      |Binance      |ETH         |pending    |USD          |      2025-10-04|BUY             |0.17960000|  4538.34000000|  3867.67000000|      8.17000000|     1.65000000|        2.37000000|</t>
  </si>
  <si>
    <t xml:space="preserve">           111|Lisa       |Kraken       |ETH         |pending    |USD          |      2025-10-03|BUY             |0.18050000|  4520.48000000|  3852.44000000|      9.00000000|     2.65000000|        1.56000000|</t>
  </si>
  <si>
    <t xml:space="preserve">           110|Julia      |Kraken       |BTC         |pending    |USD          |      2025-09-29|SELL            |0.01630000|111378.81000000| 95008.35000000|      7.26000000|     3.92000000|        2.91000000|</t>
  </si>
  <si>
    <t xml:space="preserve">           109|David      |Kraken       |BTC         |pending    |USD          |      2025-09-28|SELL            |0.03700000|108879.25000000| 93282.29000000|      7.21000000|     2.34000000|        0.64000000|</t>
  </si>
  <si>
    <t xml:space="preserve">           108|Lisa       |Coinbase     |ETH         |completed  |USD          |      2025-09-24|BUY             |0.39820000|  4180.00000000|  3555.63000000|      2.25000000|     2.82000000|        1.79000000|</t>
  </si>
  <si>
    <t xml:space="preserve">           107|Lisa       |Binance      |ETH         |pending    |USD          |      2025-09-23|SELL            |0.10680000|  4191.28000000|  3554.04000000|      2.39000000|     4.08000000|        2.88000000|</t>
  </si>
  <si>
    <t xml:space="preserve">           106|Julia      |Kraken       |ETH         |completed  |USD          |      2025-09-20|SELL            |0.15550000|  4446.03000000|  3788.37000000|      5.96000000|     2.68000000|        2.41000000|</t>
  </si>
  <si>
    <t xml:space="preserve">           105|Tom        |Coinbase     |BTC         |pending    |USD          |      2025-09-12|BUY             |0.01550000|115926.36000000| 98930.39000000|      6.80000000|     3.69000000|        1.61000000|</t>
  </si>
  <si>
    <t xml:space="preserve">           104|David      |Coinbase     |BTC         |pending    |USD          |      2025-09-10|BUY             |0.01340000|111835.84000000| 95529.06000000|      3.50000000|     4.12000000|        1.39000000|</t>
  </si>
  <si>
    <t xml:space="preserve">           103|Lisa       |Coinbase     |BTC         |pending    |USD          |      2025-09-09|BUY             |0.02470000|113054.48000000| 96265.89000000|      2.65000000|     3.86000000|        0.70000000|</t>
  </si>
  <si>
    <t xml:space="preserve">           102|Lisa       |Binance      |ETH         |completed  |USD          |      2025-09-07|BUY             |0.08010000|  4278.84000000|  3658.06000000|      9.37000000|     3.72000000|        1.87000000|</t>
  </si>
  <si>
    <t xml:space="preserve">           101|Lisa       |Binance      |BTC         |completed  |USD          |      2025-09-04|BUY             |0.04660000|112117.47000000| 96262.94000000|      4.78000000|     1.50000000|        1.90000000|</t>
  </si>
  <si>
    <t xml:space="preserve">           100|Mark       |Binance      |ETH         |pending    |USD          |      2025-09-01|SELL            |0.01080000|  4374.64000000|  3734.24000000|      3.45000000|     1.56000000|        1.37000000|</t>
  </si>
  <si>
    <t xml:space="preserve">            99|Mark       |Kraken       |BTC         |completed  |USD          |      2025-08-31|SELL            |0.01390000|107901.42000000| 92555.68000000|      8.48000000|     2.81000000|        2.44000000|</t>
  </si>
  <si>
    <t xml:space="preserve">            98|Tom        |Coinbase     |ETH         |completed  |USD          |      2025-08-29|BUY             |0.26050000|  4548.35000000|  3901.49000000|      8.57000000|     2.36000000|        0.42000000|</t>
  </si>
  <si>
    <t xml:space="preserve">            97|Mark       |Kraken       |ETH         |completed  |USD          |      2025-08-27|BUY             |0.23570000|  4626.74000000|  3990.98000000|      6.85000000|     3.51000000|        0.38000000|</t>
  </si>
  <si>
    <t xml:space="preserve">            96|Julia      |Coinbase     |ETH         |completed  |USD          |      2025-08-24|SELL            |0.08150000|  4731.31000000|  4075.89000000|      5.81000000|     4.49000000|        2.61000000|</t>
  </si>
  <si>
    <t xml:space="preserve">            95|David      |Coinbase     |ETH         |pending    |USD          |      2025-08-22|BUY             |0.08810000|  4247.23000000|  3658.86000000|      9.47000000|     1.27000000|        0.61000000|</t>
  </si>
  <si>
    <t xml:space="preserve">            94|Tom        |Kraken       |ETH         |completed  |USD          |      2025-08-21|BUY             |0.41870000|  4348.11000000|  3735.81000000|      5.60000000|     2.62000000|        2.88000000|</t>
  </si>
  <si>
    <t xml:space="preserve">            93|David      |Kraken       |BTC         |pending    |USD          |      2025-08-20|BUY             |0.03400000|113611.97000000| 97513.16000000|      9.77000000|     4.64000000|        2.07000000|</t>
  </si>
  <si>
    <t xml:space="preserve">            92|Mark       |Coinbase     |ETH         |completed  |USD          |      2025-08-17|SELL            |0.44230000|  4409.00000000|  3772.25000000|      9.48000000|     2.68000000|        0.29000000|</t>
  </si>
  <si>
    <t xml:space="preserve">            91|Mark       |Binance      |BTC         |completed  |USD          |      2025-08-16|SELL            |0.02890000|116583.79000000| 99746.76000000|      4.22000000|     1.94000000|        2.73000000|</t>
  </si>
  <si>
    <t xml:space="preserve">            90|Lisa       |Coinbase     |ETH         |pending    |USD          |      2025-08-14|SELL            |0.33740000|  4739.57000000|  4054.37000000|      6.39000000|     3.95000000|        2.53000000|</t>
  </si>
  <si>
    <t xml:space="preserve">            89|Tom        |Binance      |BTC         |pending    |USD          |      2025-08-14|BUY             |0.04730000|123805.39000000|105906.85000000|      9.92000000|     3.31000000|        2.00000000|</t>
  </si>
  <si>
    <t xml:space="preserve">            88|Tom        |Binance      |ETH         |pending    |USD          |      2025-08-13|BUY             |0.07580000|  4638.61000000|  3960.91000000|      5.27000000|     4.56000000|        2.87000000|</t>
  </si>
  <si>
    <t xml:space="preserve">            87|Tom        |Kraken       |BTC         |completed  |USD          |      2025-08-13|SELL            |0.00360000|119716.35000000|102225.80000000|      6.74000000|     4.59000000|        0.81000000|</t>
  </si>
  <si>
    <t xml:space="preserve">            86|Tom        |Binance      |ETH         |pending    |USD          |      2025-08-10|SELL            |0.00000000|  4233.93000000|  3634.92000000|      9.56000000|     1.12000000|        0.25000000|</t>
  </si>
  <si>
    <t xml:space="preserve">            85|David      |Binance      |ETH         |completed  |USD          |      2025-08-09|SELL            |0.32310000|  3995.17000000|  3429.93000000|      6.66000000|     4.25000000|        0.72000000|</t>
  </si>
  <si>
    <t xml:space="preserve">            84|Lisa       |Coinbase     |BTC         |completed  |USD          |      2025-08-06|BUY             |0.04220000|115205.90000000| 99280.99000000|      7.36000000|     4.86000000|        0.27000000|</t>
  </si>
  <si>
    <t xml:space="preserve">            83|David      |Coinbase     |BTC         |completed  |USD          |      2025-08-05|BUY             |0.01230000|115742.85000000|100244.88000000|      7.22000000|     2.91000000|        0.54000000|</t>
  </si>
  <si>
    <t xml:space="preserve">            82|Mark       |Kraken       |ETH         |pending    |USD          |      2025-07-31|SELL            |0.14170000|  3771.12000000|  3294.71000000|      5.88000000|     1.27000000|        2.76000000|</t>
  </si>
  <si>
    <t xml:space="preserve">            81|Mark       |Binance      |BTC         |pending    |USD          |      2025-07-31|SELL            |0.01130000|116672.94000000|101933.65000000|      6.65000000|     3.58000000|        0.75000000|</t>
  </si>
  <si>
    <t xml:space="preserve">            80|Anna       |Coinbase     |ETH         |completed  |USD          |      2025-07-30|SELL            |0.02230000|  3771.18000000|  3271.61000000|      7.38000000|     4.96000000|        2.75000000|</t>
  </si>
  <si>
    <t xml:space="preserve">            79|David      |Binance      |BTC         |pending    |USD          |      2025-07-30|SELL            |0.00440000|116842.85000000|101364.68000000|      3.15000000|     2.87000000|        1.08000000|</t>
  </si>
  <si>
    <t xml:space="preserve">            78|Lisa       |Binance      |ETH         |completed  |USD          |      2025-07-29|SELL            |0.01770000|  3762.19000000|  3262.12000000|      9.92000000|     2.16000000|        2.45000000|</t>
  </si>
  <si>
    <t xml:space="preserve">            77|Tom        |Binance      |ETH         |completed  |USD          |      2025-07-28|SELL            |0.00500000|  3855.96000000|  3308.69000000|      9.09000000|     1.39000000|        2.95000000|</t>
  </si>
  <si>
    <t xml:space="preserve">            76|Mark       |Coinbase     |BTC         |completed  |USD          |      2025-07-28|SELL            |0.00230000|119062.49000000|102163.96000000|      6.11000000|     4.14000000|        0.98000000|</t>
  </si>
  <si>
    <t xml:space="preserve">            75|Julia      |Coinbase     |ETH         |pending    |USD          |      2025-07-25|SELL            |0.32990000|  3703.36000000|  3158.78000000|      6.70000000|     2.08000000|        2.31000000|</t>
  </si>
  <si>
    <t xml:space="preserve">            74|Mark       |Kraken       |ETH         |completed  |USD          |      2025-07-24|SELL            |0.20310000|  3619.72000000|  3079.05000000|      4.62000000|     2.47000000|        1.62000000|</t>
  </si>
  <si>
    <t xml:space="preserve">            73|Lisa       |Coinbase     |ETH         |pending    |USD          |      2025-07-21|BUY             |0.08370000|  3784.49000000|  3243.76000000|      5.05000000|     4.88000000|        0.85000000|</t>
  </si>
  <si>
    <t xml:space="preserve">            72|David      |Kraken       |BTC         |pending    |USD          |      2025-07-21|SELL            |0.01590000|116592.04000000| 99933.37000000|      9.95000000|     2.13000000|        2.06000000|</t>
  </si>
  <si>
    <t xml:space="preserve">            71|Anna       |Coinbase     |ETH         |pending    |USD          |      2025-07-19|BUY             |0.44720000|  3564.39000000|  3059.56000000|      6.82000000|     4.58000000|        0.90000000|</t>
  </si>
  <si>
    <t xml:space="preserve">            70|Julia      |Coinbase     |BTC         |pending    |USD          |      2025-07-11|SELL            |0.04560000|115735.97000000| 99063.04000000|      4.38000000|     4.32000000|        0.70000000|</t>
  </si>
  <si>
    <t xml:space="preserve">            69|David      |Kraken       |ETH         |pending    |USD          |      2025-07-09|SELL            |0.12910000|  2603.82000000|  2225.87000000|      3.35000000|     1.29000000|        0.03000000|</t>
  </si>
  <si>
    <t xml:space="preserve">            68|Anna       |Coinbase     |BTC         |completed  |USD          |      2025-07-08|BUY             |0.03690000|108856.19000000| 92896.78000000|      2.69000000|     4.87000000|        0.44000000|</t>
  </si>
  <si>
    <t xml:space="preserve">            67|Tom        |Binance      |ETH         |completed  |USD          |      2025-07-06|SELL            |0.03760000|  2503.55000000|  2127.59000000|      4.85000000|     4.53000000|        1.45000000|</t>
  </si>
  <si>
    <t xml:space="preserve">            66|Julia      |Kraken       |BTC         |completed  |USD          |      2025-07-05|SELL            |0.02310000|107333.18000000| 91214.96000000|      8.09000000|     2.29000000|        1.84000000|</t>
  </si>
  <si>
    <t xml:space="preserve">            65|Julia      |Kraken       |ETH         |completed  |USD          |      2025-07-02|BUY             |0.32730000|  2407.83000000|  2048.35000000|      4.84000000|     2.26000000|        0.19000000|</t>
  </si>
  <si>
    <t xml:space="preserve">            64|David      |Binance      |BTC         |pending    |USD          |      2025-06-29|BUY             |0.02910000|108034.37000000| 92305.64000000|      6.02000000|     2.33000000|        1.52000000|</t>
  </si>
  <si>
    <t xml:space="preserve">            63|Tom        |Kraken       |BTC         |pending    |USD          |      2025-06-25|SELL            |0.02370000|105654.72000000| 91097.61000000|      3.14000000|     4.40000000|        1.22000000|</t>
  </si>
  <si>
    <t xml:space="preserve">            62|Lisa       |Kraken       |BTC         |pending    |USD          |      2025-06-24|SELL            |0.00760000|104741.57000000| 90240.10000000|      8.66000000|     4.99000000|        2.49000000|</t>
  </si>
  <si>
    <t xml:space="preserve">            61|Julia      |Kraken       |ETH         |completed  |USD          |      2025-06-22|BUY             |0.31690000|  2283.90000000|  1983.41000000|      4.46000000|     3.99000000|        0.43000000|</t>
  </si>
  <si>
    <t xml:space="preserve">            60|Julia      |Coinbase     |BTC         |completed  |USD          |      2025-06-22|BUY             |0.04970000|101836.97000000| 88438.28000000|      7.93000000|     1.09000000|        2.30000000|</t>
  </si>
  <si>
    <t xml:space="preserve">            59|Mark       |Kraken       |ETH         |pending    |USD          |      2025-06-21|BUY             |0.04560000|  2424.92000000|  2105.87000000|      3.65000000|     1.94000000|        1.29000000|</t>
  </si>
  <si>
    <t xml:space="preserve">            58|Julia      |Kraken       |BTC         |pending    |USD          |      2025-06-21|BUY             |0.04800000|103482.40000000| 89867.22000000|      4.77000000|     1.69000000|        2.03000000|</t>
  </si>
  <si>
    <t xml:space="preserve">            57|Julia      |Binance      |ETH         |pending    |USD          |      2025-06-20|BUY             |0.22910000|  2533.50000000|  2200.17000000|      8.27000000|     1.93000000|        0.36000000|</t>
  </si>
  <si>
    <t xml:space="preserve">            56|Tom        |Coinbase     |BTC         |completed  |USD          |      2025-06-20|BUY             |0.03060000|104884.00000000| 91084.41000000|      7.93000000|     4.63000000|        2.53000000|</t>
  </si>
  <si>
    <t xml:space="preserve">            55|David      |Binance      |BTC         |completed  |USD          |      2025-06-19|BUY             |0.02860000|105473.42000000| 91891.61000000|      8.87000000|     4.66000000|        2.65000000|</t>
  </si>
  <si>
    <t xml:space="preserve">            54|Mark       |Binance      |BTC         |completed  |USD          |      2025-06-18|BUY             |0.04140000|104926.34000000| 91176.80000000|      9.71000000|     4.57000000|        1.52000000|</t>
  </si>
  <si>
    <t xml:space="preserve">            53|Tom        |Coinbase     |ETH         |completed  |USD          |      2025-06-17|BUY             |0.23050000|  2574.22000000|  2225.28000000|      2.51000000|     3.22000000|        0.72000000|</t>
  </si>
  <si>
    <t xml:space="preserve">            52|Lisa       |Coinbase     |ETH         |pending    |USD          |      2025-06-15|BUY             |0.16600000|  2550.04000000|  2215.12000000|      3.94000000|     1.78000000|        2.63000000|</t>
  </si>
  <si>
    <t xml:space="preserve">            51|Anna       |Binance      |ETH         |pending    |USD          |      2025-06-13|BUY             |0.32490000|  2664.40000000|  2314.45000000|      3.05000000|     3.38000000|        0.49000000|</t>
  </si>
  <si>
    <t xml:space="preserve">            50|David      |Kraken       |BTC         |pending    |USD          |      2025-06-13|BUY             |0.02070000|106624.32000000| 92620.28000000|      3.94000000|     1.28000000|        0.44000000|</t>
  </si>
  <si>
    <t xml:space="preserve">            49|Lisa       |Binance      |ETH         |completed  |USD          |      2025-06-11|SELL            |0.33960000|  2787.42000000|  2438.05000000|      4.97000000|     4.85000000|        1.83000000|</t>
  </si>
  <si>
    <t xml:space="preserve">            48|Lisa       |Kraken       |BTC         |completed  |USD          |      2025-06-11|BUY             |0.02760000|111150.40000000| 97218.81000000|      3.06000000|     3.79000000|        2.07000000|</t>
  </si>
  <si>
    <t xml:space="preserve">            47|Lisa       |Binance      |ETH         |completed  |USD          |      2025-06-10|BUY             |0.27180000|  2700.80000000|  2363.12000000|      5.68000000|     2.53000000|        0.95000000|</t>
  </si>
  <si>
    <t xml:space="preserve">            46|Lisa       |Binance      |ETH         |pending    |USD          |      2025-06-08|BUY             |0.10280000|  2534.01000000|  2220.68000000|      2.45000000|     3.27000000|        2.90000000|</t>
  </si>
  <si>
    <t xml:space="preserve">            45|Anna       |Kraken       |BTC         |pending    |USD          |      2025-06-08|BUY             |0.01400000|106632.43000000| 93447.33000000|      3.23000000|     1.94000000|        0.40000000|</t>
  </si>
  <si>
    <t xml:space="preserve">            44|Lisa       |Coinbase     |ETH         |pending    |USD          |      2025-06-03|SELL            |0.03470000|  2599.93000000|  2283.44000000|      6.38000000|     1.20000000|        2.06000000|</t>
  </si>
  <si>
    <t xml:space="preserve">            43|David      |Coinbase     |BTC         |pending    |USD          |      2025-06-03|SELL            |0.02570000|105604.33000000| 92749.12000000|      9.13000000|     3.37000000|        1.15000000|</t>
  </si>
  <si>
    <t xml:space="preserve">            42|Anna       |Kraken       |ETH         |pending    |USD          |      2025-06-02|SELL            |0.05540000|  2522.38000000|  2208.93000000|      2.44000000|     3.40000000|        2.76000000|</t>
  </si>
  <si>
    <t xml:space="preserve">            41|Lisa       |Binance      |ETH         |pending    |USD          |      2025-05-31|BUY             |0.10620000|  2539.51000000|  2239.62000000|      3.73000000|     2.83000000|        1.94000000|</t>
  </si>
  <si>
    <t xml:space="preserve">            40|Anna       |Binance      |ETH         |completed  |USD          |      2025-05-28|BUY             |0.24900000|  2687.85000000|  2375.07000000|      6.60000000|     4.97000000|        0.12000000|</t>
  </si>
  <si>
    <t xml:space="preserve">            39|David      |Kraken       |ETH         |completed  |USD          |      2025-05-26|SELL            |0.05640000|  2537.74000000|  2229.81000000|      6.21000000|     1.90000000|        2.60000000|</t>
  </si>
  <si>
    <t xml:space="preserve">            38|Julia      |Binance      |BTC         |completed  |USD          |      2025-05-25|BUY             |0.00130000|107950.55000000| 95523.28000000|      4.96000000|     4.89000000|        1.33000000|</t>
  </si>
  <si>
    <t xml:space="preserve">            37|Julia      |Kraken       |ETH         |completed  |USD          |      2025-05-23|BUY             |0.32960000|  2668.57000000|  2361.36000000|      7.31000000|     4.61000000|        1.09000000|</t>
  </si>
  <si>
    <t xml:space="preserve">            36|Lisa       |Binance      |BTC         |pending    |USD          |      2025-05-21|BUY             |0.00150000|107059.48000000| 94566.71000000|      4.03000000|     3.17000000|        1.44000000|</t>
  </si>
  <si>
    <t xml:space="preserve">            35|Tom        |Coinbase     |ETH         |pending    |USD          |      2025-05-20|SELL            |0.07180000|  2517.73000000|  2239.77000000|      6.30000000|     1.69000000|        1.95000000|</t>
  </si>
  <si>
    <t xml:space="preserve">            34|Mark       |Kraken       |BTC         |pending    |USD          |      2025-05-20|BUY             |0.03350000|106326.77000000| 94588.29000000|      6.19000000|     3.03000000|        1.49000000|</t>
  </si>
  <si>
    <t xml:space="preserve">            33|Tom        |Coinbase     |BTC         |pending    |USD          |      2025-05-19|BUY             |0.01370000|106951.64000000| 94966.64000000|      6.00000000|     2.34000000|        0.73000000|</t>
  </si>
  <si>
    <t xml:space="preserve">            32|Lisa       |Kraken       |ETH         |pending    |USD          |      2025-05-15|BUY             |0.01540000|  2621.98000000|  2344.18000000|      7.50000000|     4.35000000|        0.76000000|</t>
  </si>
  <si>
    <t xml:space="preserve">            31|Mark       |Coinbase     |ETH         |pending    |USD          |      2025-05-14|BUY             |0.44740000|  2691.53000000|  2400.14000000|      7.74000000|     3.08000000|        2.73000000|</t>
  </si>
  <si>
    <t xml:space="preserve">            30|David      |Coinbase     |BTC         |pending    |USD          |      2025-05-14|BUY             |0.04690000|104430.99000000| 93125.30000000|      2.22000000|     3.62000000|        0.97000000|</t>
  </si>
  <si>
    <t xml:space="preserve">            29|David      |Binance      |ETH         |pending    |USD          |      2025-05-12|BUY             |0.48570000|  2528.46000000|  2276.65000000|      9.24000000|     3.34000000|        3.00000000|</t>
  </si>
  <si>
    <t xml:space="preserve">            28|Mark       |Coinbase     |BTC         |completed  |USD          |      2025-05-11|BUY             |0.03480000|105542.59000000| 93798.87000000|      5.13000000|     1.22000000|        1.07000000|</t>
  </si>
  <si>
    <t xml:space="preserve">            27|David      |Coinbase     |ETH         |pending    |USD          |      2025-05-09|BUY             |0.43950000|  2210.45000000|  1964.49000000|      8.44000000|     3.76000000|        1.88000000|</t>
  </si>
  <si>
    <t xml:space="preserve">            26|Julia      |Coinbase     |BTC         |completed  |USD          |      2025-05-06|BUY             |0.01450000| 94896.12000000| 83793.28000000|      8.61000000|     3.62000000|        1.91000000|</t>
  </si>
  <si>
    <t xml:space="preserve">            25|Lisa       |Coinbase     |ETH         |completed  |USD          |      2025-05-03|BUY             |0.20130000|  1848.21000000|  1629.38000000|      2.39000000|     1.64000000|        2.58000000|</t>
  </si>
  <si>
    <t xml:space="preserve">            24|David      |Coinbase     |BTC         |pending    |USD          |      2025-05-02|SELL            |0.02340000| 95604.46000000| 84284.89000000|      8.42000000|     3.69000000|        2.33000000|</t>
  </si>
  <si>
    <t xml:space="preserve">            23|Tom        |Coinbase     |ETH         |completed  |USD          |      2025-05-01|BUY             |0.07940000|  1811.73000000|  1593.02000000|      5.91000000|     3.19000000|        2.11000000|</t>
  </si>
  <si>
    <t xml:space="preserve">            22|Mark       |Kraken       |ETH         |pending    |USD          |      2025-04-30|BUY             |0.35460000|  1809.36000000|  1590.94000000|      3.71000000|     1.25000000|        0.61000000|</t>
  </si>
  <si>
    <t xml:space="preserve">            21|Tom        |Kraken       |BTC         |completed  |USD          |      2025-04-30|SELL            |0.01140000| 93554.62000000| 82260.71000000|      5.35000000|     2.39000000|        0.31000000|</t>
  </si>
  <si>
    <t xml:space="preserve">            20|David      |Coinbase     |ETH         |completed  |USD          |      2025-04-28|BUY             |0.28740000|  1803.48000000|  1587.86000000|      3.78000000|     4.21000000|        2.72000000|</t>
  </si>
  <si>
    <t xml:space="preserve">            19|Tom        |Coinbase     |BTC         |pending    |USD          |      2025-04-28|SELL            |0.01380000| 93352.68000000| 82191.43000000|      2.17000000|     1.71000000|        2.61000000|</t>
  </si>
  <si>
    <t xml:space="preserve">            18|David      |Coinbase     |BTC         |pending    |USD          |      2025-04-27|BUY             |0.03070000| 95500.47000000| 84089.11000000|      4.71000000|     3.33000000|        0.90000000|</t>
  </si>
  <si>
    <t xml:space="preserve">            17|Tom        |Coinbase     |BTC         |completed  |USD          |      2025-04-26|BUY             |0.02180000| 95059.50000000| 83700.84000000|      3.04000000|     1.23000000|        2.59000000|</t>
  </si>
  <si>
    <t xml:space="preserve">            16|Anna       |Kraken       |ETH         |pending    |USD          |      2025-04-24|BUY             |0.25090000|  1799.84000000|  1582.13000000|      9.33000000|     2.63000000|        0.75000000|</t>
  </si>
  <si>
    <t xml:space="preserve">            15|Tom        |Kraken       |BTC         |completed  |USD          |      2025-04-24|BUY             |0.03910000| 93845.02000000| 82493.53000000|      9.73000000|     4.49000000|        2.00000000|</t>
  </si>
  <si>
    <t xml:space="preserve">            14|Tom        |Binance      |ETH         |completed  |USD          |      2025-04-23|BUY             |0.04260000|  1774.23000000|  1554.29000000|      2.77000000|     4.95000000|        0.01000000|</t>
  </si>
  <si>
    <t xml:space="preserve">            13|Julia      |Coinbase     |ETH         |pending    |USD          |      2025-04-20|BUY             |0.44490000|  1618.50000000|  1424.73000000|      7.53000000|     2.10000000|        0.10000000|</t>
  </si>
  <si>
    <t xml:space="preserve">            12|Lisa       |Binance      |BTC         |pending    |USD          |      2025-04-20|BUY             |0.02770000| 85217.90000000| 75015.61000000|      3.57000000|     3.04000000|        2.69000000|</t>
  </si>
  <si>
    <t xml:space="preserve">            11|David      |Kraken       |ETH         |pending    |USD          |      2025-04-16|BUY             |0.35480000|  1589.84000000|  1400.12000000|      3.91000000|     3.42000000|        0.57000000|</t>
  </si>
  <si>
    <t xml:space="preserve">            10|Mark       |Binance      |ETH         |completed  |USD          |      2025-04-14|BUY             |0.02020000|  1610.28000000|  1415.39000000|      4.89000000|     2.28000000|        1.71000000|</t>
  </si>
  <si>
    <t xml:space="preserve">             9|David      |Coinbase     |BTC         |pending    |USD          |      2025-04-13|BUY             |0.04500000| 85398.65000000| 75267.80000000|      7.94000000|     4.66000000|        1.84000000|</t>
  </si>
  <si>
    <t xml:space="preserve">             8|Tom        |Kraken       |ETH         |pending    |USD          |      2025-04-11|BUY             |0.14700000|  1534.24000000|  1352.23000000|      9.13000000|     3.13000000|        2.60000000|</t>
  </si>
  <si>
    <t xml:space="preserve">             7|David      |Kraken       |BTC         |pending    |USD          |      2025-04-06|BUY             |0.03000000| 48000.00000000| 44160.00000000|      9.00000000|     4.00000000|        0.00000000|</t>
  </si>
  <si>
    <t xml:space="preserve">             6|Anna       |Binance      |BTC         |completed  |USD          |      2025-04-05|SELL            |0.02000000| 50000.00000000| 46000.00000000|      5.00000000|     2.00000000|        0.00000000|</t>
  </si>
  <si>
    <t xml:space="preserve">             5|Lisa       |Coinbase     |ETH         |completed  |USD          |      2025-04-01|BUY             |0.80000000|  2600.00000000|  2392.00000000|      6.00000000|     3.00000000|        2.00000000|</t>
  </si>
  <si>
    <t xml:space="preserve">             4|Tom        |Binance      |ETH         |completed  |USD          |      2025-03-10|BUY             |1.20000000|  2500.00000000|  2350.00000000|      5.00000000|     2.00000000|        0.00000000|</t>
  </si>
  <si>
    <t xml:space="preserve">             3|Julia      |Kraken       |BTC         |completed  |USD          |      2025-03-01|BUY             |0.01000000| 47000.00000000| 42770.00000000|      7.00000000|     3.00000000|        1.00000000|</t>
  </si>
  <si>
    <t xml:space="preserve">             2|Mark       |Coinbase     |BTC         |completed  |USD          |      2025-02-15|BUY             |0.02000000| 45000.00000000| 41850.00000000|      8.00000000|     4.00000000|        0.00000000|</t>
  </si>
  <si>
    <t xml:space="preserve">             1|Anna       |Binance      |BTC         |completed  |USD          |      2025-01-10|BUY             |0.05000000| 42000.00000000| 38640.00000000|     10.00000000|     5.00000000|        0.00000000|</t>
  </si>
  <si>
    <t>transaction_id</t>
  </si>
  <si>
    <t>client_name</t>
  </si>
  <si>
    <t>platform_name</t>
  </si>
  <si>
    <t>asset_symbol</t>
  </si>
  <si>
    <t>status_name</t>
  </si>
  <si>
    <t>currency_code</t>
  </si>
  <si>
    <t>transaction_date</t>
  </si>
  <si>
    <t>transaction_type</t>
  </si>
  <si>
    <t>amount</t>
  </si>
  <si>
    <t>buy_price</t>
  </si>
  <si>
    <t>buy_price_eur</t>
  </si>
  <si>
    <t>exchange_fee_eur</t>
  </si>
  <si>
    <t>service_fee_eur</t>
  </si>
  <si>
    <t>referral_bonus_eur</t>
  </si>
  <si>
    <t>балансова вартість  евро</t>
  </si>
  <si>
    <t>купила</t>
  </si>
  <si>
    <t>щтук</t>
  </si>
  <si>
    <t>транзацкія</t>
  </si>
  <si>
    <t>покупка</t>
  </si>
  <si>
    <t>продажа</t>
  </si>
  <si>
    <t>Баланс евро на початок</t>
  </si>
  <si>
    <t>штук на початок</t>
  </si>
  <si>
    <t>ціна покупи</t>
  </si>
  <si>
    <t>продали</t>
  </si>
  <si>
    <t>ціна продажу</t>
  </si>
  <si>
    <t>ціга за штук на початок</t>
  </si>
  <si>
    <t>Баланс евро на кінець</t>
  </si>
  <si>
    <t>ціга за штук на кінець</t>
  </si>
  <si>
    <t>Баланс штук на кінець</t>
  </si>
  <si>
    <t>середньозважена ціна</t>
  </si>
  <si>
    <t>Профіт</t>
  </si>
  <si>
    <t>прибуток оборот</t>
  </si>
  <si>
    <t>приьбуток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</si>
</sst>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006464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3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0" fillId="2" borderId="0" xfId="0" applyFill="1"/>
    <xf numFmtId="22" fontId="0" fillId="0" borderId="0" xfId="0" applyNumberFormat="1"/>
    <xf numFmtId="4" fontId="0" fillId="2" borderId="0" xfId="0" applyNumberFormat="1" applyFill="1"/>
    <xf numFmtId="4" fontId="0" fillId="0" borderId="0" xfId="0" applyNumberFormat="1" applyAlignment="1">
      <alignment wrapText="1"/>
    </xf>
    <xf numFmtId="4" fontId="0" fillId="2" borderId="0" xfId="0" applyNumberFormat="1" applyFill="1" applyAlignment="1">
      <alignment wrapText="1"/>
    </xf>
    <xf numFmtId="4" fontId="0" fillId="3" borderId="0" xfId="0" applyNumberFormat="1" applyFill="1"/>
    <xf numFmtId="4" fontId="0" fillId="3" borderId="0" xfId="0" applyNumberFormat="1" applyFill="1" applyAlignment="1">
      <alignment wrapText="1"/>
    </xf>
    <xf numFmtId="4" fontId="0" fillId="4" borderId="0" xfId="0" applyNumberFormat="1" applyFill="1"/>
    <xf numFmtId="4" fontId="0" fillId="4" borderId="0" xfId="0" applyNumberFormat="1" applyFill="1" applyAlignment="1">
      <alignment wrapText="1"/>
    </xf>
    <xf numFmtId="4" fontId="0" fillId="5" borderId="0" xfId="0" applyNumberFormat="1" applyFill="1" applyAlignment="1">
      <alignment wrapText="1"/>
    </xf>
    <xf numFmtId="4" fontId="0" fillId="6" borderId="0" xfId="0" applyNumberFormat="1" applyFill="1"/>
    <xf numFmtId="0" fontId="1" fillId="0" borderId="0" xfId="0" applyFont="1" applyAlignment="1">
      <alignment wrapText="1"/>
    </xf>
    <xf numFmtId="4" fontId="1" fillId="0" borderId="0" xfId="0" applyNumberFormat="1" applyFont="1"/>
  </cellXfs>
  <cellStyles count="1">
    <cellStyle name="Standard" xfId="0" builtinId="0"/>
  </cellStyles>
  <dxfs count="2">
    <dxf>
      <numFmt numFmtId="27" formatCode="dd/mm/yyyy\ hh:mm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86712D1-EA0E-49BD-8988-12D19F6A1CE0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_id" tableColumnId="1"/>
      <queryTableField id="2" name="client_name" tableColumnId="2"/>
      <queryTableField id="3" name="platform_name" tableColumnId="3"/>
      <queryTableField id="4" name="asset_symbol" tableColumnId="4"/>
      <queryTableField id="5" name="status_name" tableColumnId="5"/>
      <queryTableField id="6" name="currency_code" tableColumnId="6"/>
      <queryTableField id="7" name="transaction_date" tableColumnId="7"/>
      <queryTableField id="8" name="transaction_type" tableColumnId="8"/>
      <queryTableField id="9" name="amount" tableColumnId="9"/>
      <queryTableField id="10" name="buy_price" tableColumnId="10"/>
      <queryTableField id="11" name="buy_price_eur" tableColumnId="11"/>
      <queryTableField id="12" name="exchange_fee_eur" tableColumnId="12"/>
      <queryTableField id="13" name="service_fee_eur" tableColumnId="13"/>
      <queryTableField id="14" name="referral_bonus_eu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A799A-E2E6-4999-A703-6376E8BF276B}" name="v_transactions_overview_202604081253" displayName="v_transactions_overview_202604081253" ref="A1:N294" tableType="queryTable" totalsRowShown="0" headerRowDxfId="1">
  <autoFilter ref="A1:N294" xr:uid="{1B4D88D4-9231-4792-BE20-507F57E64997}"/>
  <tableColumns count="14">
    <tableColumn id="1" xr3:uid="{AE86B0AF-33F5-4D73-BDA3-22249C4B3B95}" uniqueName="1" name="transaction_id" queryTableFieldId="1"/>
    <tableColumn id="2" xr3:uid="{5FB64C67-8645-4C94-B940-36CE952AD4C2}" uniqueName="2" name="client_name" queryTableFieldId="2"/>
    <tableColumn id="3" xr3:uid="{91288D0D-9032-4F79-8253-2A5DEFD35CA7}" uniqueName="3" name="platform_name" queryTableFieldId="3"/>
    <tableColumn id="4" xr3:uid="{953935F7-A27A-4755-B807-88211EA91506}" uniqueName="4" name="asset_symbol" queryTableFieldId="4"/>
    <tableColumn id="5" xr3:uid="{7AC23F72-40A4-4A8B-86D2-1FA686D315D5}" uniqueName="5" name="status_name" queryTableFieldId="5"/>
    <tableColumn id="6" xr3:uid="{82C496A4-AEA3-407C-8BB8-9AC40537C2D8}" uniqueName="6" name="currency_code" queryTableFieldId="6"/>
    <tableColumn id="7" xr3:uid="{4E6CC682-067B-43F5-9EF4-A977D465EE62}" uniqueName="7" name="transaction_date" queryTableFieldId="7" dataDxfId="0"/>
    <tableColumn id="8" xr3:uid="{1B290538-1A45-47E5-A190-DFBDE8A20198}" uniqueName="8" name="transaction_type" queryTableFieldId="8"/>
    <tableColumn id="9" xr3:uid="{817077F8-5D41-46A3-AAE3-0ED399C74B91}" uniqueName="9" name="amount" queryTableFieldId="9"/>
    <tableColumn id="10" xr3:uid="{AC5BA3B6-4040-4B1D-9081-D8D97366039B}" uniqueName="10" name="buy_price" queryTableFieldId="10"/>
    <tableColumn id="11" xr3:uid="{A6C89B7B-428E-419D-8E6A-F9F70F6F1C74}" uniqueName="11" name="buy_price_eur" queryTableFieldId="11"/>
    <tableColumn id="12" xr3:uid="{30391B08-A78B-49C4-B754-DEEFF0A0E974}" uniqueName="12" name="exchange_fee_eur" queryTableFieldId="12"/>
    <tableColumn id="13" xr3:uid="{748F4D40-3AC6-4B40-9299-5E49A2CA5503}" uniqueName="13" name="service_fee_eur" queryTableFieldId="13"/>
    <tableColumn id="14" xr3:uid="{5F1CE8C2-6BD8-467C-A0AE-F51378DB32D7}" uniqueName="14" name="referral_bonus_eur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0C13-CA13-49EC-89EE-D51343FDD5BE}">
  <dimension ref="A1:T201"/>
  <sheetViews>
    <sheetView workbookViewId="0">
      <selection activeCell="O1" sqref="O1:T5"/>
    </sheetView>
  </sheetViews>
  <sheetFormatPr baseColWidth="10" defaultRowHeight="15" x14ac:dyDescent="0.25"/>
  <cols>
    <col min="1" max="1" width="7.28515625" customWidth="1"/>
    <col min="2" max="2" width="6" bestFit="1" customWidth="1"/>
    <col min="3" max="3" width="9.140625" bestFit="1" customWidth="1"/>
    <col min="4" max="4" width="8.7109375" customWidth="1"/>
    <col min="5" max="5" width="10.5703125" bestFit="1" customWidth="1"/>
    <col min="6" max="6" width="8.42578125" customWidth="1"/>
    <col min="7" max="7" width="10.140625" customWidth="1"/>
    <col min="8" max="8" width="9.28515625" customWidth="1"/>
    <col min="9" max="9" width="10.5703125" bestFit="1" customWidth="1"/>
    <col min="10" max="11" width="17.42578125" bestFit="1" customWidth="1"/>
    <col min="12" max="14" width="11.140625" bestFit="1" customWidth="1"/>
    <col min="20" max="20" width="13.7109375" bestFit="1" customWidth="1"/>
  </cols>
  <sheetData>
    <row r="1" spans="1:20" s="7" customFormat="1" ht="60" x14ac:dyDescent="0.25">
      <c r="A1" s="5" t="s">
        <v>248</v>
      </c>
      <c r="B1" s="6" t="s">
        <v>249</v>
      </c>
      <c r="C1" s="6" t="s">
        <v>250</v>
      </c>
      <c r="D1" s="6" t="s">
        <v>251</v>
      </c>
      <c r="E1" s="6" t="s">
        <v>252</v>
      </c>
      <c r="F1" s="6" t="s">
        <v>253</v>
      </c>
      <c r="G1" s="6" t="s">
        <v>254</v>
      </c>
      <c r="H1" s="6" t="s">
        <v>255</v>
      </c>
      <c r="I1" s="6" t="s">
        <v>256</v>
      </c>
      <c r="J1" s="6" t="s">
        <v>257</v>
      </c>
      <c r="K1" s="6" t="s">
        <v>258</v>
      </c>
      <c r="L1" s="6" t="s">
        <v>259</v>
      </c>
      <c r="M1" s="6" t="s">
        <v>260</v>
      </c>
      <c r="N1" s="6" t="s">
        <v>261</v>
      </c>
      <c r="O1" s="7" t="s">
        <v>262</v>
      </c>
      <c r="P1" s="7" t="s">
        <v>263</v>
      </c>
      <c r="Q1" s="7" t="s">
        <v>267</v>
      </c>
      <c r="R1" s="7" t="s">
        <v>264</v>
      </c>
      <c r="S1" s="7" t="s">
        <v>265</v>
      </c>
      <c r="T1" s="7" t="s">
        <v>266</v>
      </c>
    </row>
    <row r="2" spans="1:20" x14ac:dyDescent="0.25">
      <c r="A2">
        <v>293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1">
        <v>46120</v>
      </c>
      <c r="H2" t="s">
        <v>5</v>
      </c>
      <c r="I2" t="s">
        <v>6</v>
      </c>
      <c r="J2" s="2">
        <v>225789000000</v>
      </c>
      <c r="K2" s="2">
        <v>195370000000</v>
      </c>
      <c r="L2" s="2">
        <v>959000000</v>
      </c>
      <c r="M2" s="2">
        <v>182000000</v>
      </c>
      <c r="N2" s="2">
        <v>151000000</v>
      </c>
      <c r="O2" s="9"/>
      <c r="P2" s="9"/>
      <c r="Q2" s="9"/>
      <c r="T2" s="8">
        <f>M:M</f>
        <v>182000000</v>
      </c>
    </row>
    <row r="3" spans="1:20" x14ac:dyDescent="0.25">
      <c r="A3">
        <v>292</v>
      </c>
      <c r="B3" t="s">
        <v>7</v>
      </c>
      <c r="C3" t="s">
        <v>8</v>
      </c>
      <c r="D3" t="s">
        <v>9</v>
      </c>
      <c r="E3" t="s">
        <v>3</v>
      </c>
      <c r="F3" t="s">
        <v>4</v>
      </c>
      <c r="G3" s="1">
        <v>46120</v>
      </c>
      <c r="H3" t="s">
        <v>5</v>
      </c>
      <c r="I3" t="s">
        <v>10</v>
      </c>
      <c r="J3" s="2">
        <v>7212388000000</v>
      </c>
      <c r="K3" s="2">
        <v>6240735000000</v>
      </c>
      <c r="L3" s="2">
        <v>891000000</v>
      </c>
      <c r="M3" s="2">
        <v>201000000</v>
      </c>
      <c r="N3" s="2">
        <v>290000000</v>
      </c>
    </row>
    <row r="4" spans="1:20" x14ac:dyDescent="0.25">
      <c r="A4">
        <v>291</v>
      </c>
      <c r="B4" t="s">
        <v>11</v>
      </c>
      <c r="C4" t="s">
        <v>8</v>
      </c>
      <c r="D4" t="s">
        <v>2</v>
      </c>
      <c r="E4" t="s">
        <v>12</v>
      </c>
      <c r="F4" t="s">
        <v>4</v>
      </c>
      <c r="G4" s="1">
        <v>46120</v>
      </c>
      <c r="H4" t="s">
        <v>5</v>
      </c>
      <c r="I4" t="s">
        <v>13</v>
      </c>
      <c r="J4" s="2">
        <v>225990000000</v>
      </c>
      <c r="K4" s="2">
        <v>195544000000</v>
      </c>
      <c r="L4" s="2">
        <v>584000000</v>
      </c>
      <c r="M4" s="2">
        <v>402000000</v>
      </c>
      <c r="N4" s="2">
        <v>161000000</v>
      </c>
    </row>
    <row r="5" spans="1:20" x14ac:dyDescent="0.25">
      <c r="A5">
        <v>290</v>
      </c>
      <c r="B5" t="s">
        <v>0</v>
      </c>
      <c r="C5" t="s">
        <v>8</v>
      </c>
      <c r="D5" t="s">
        <v>9</v>
      </c>
      <c r="E5" t="s">
        <v>12</v>
      </c>
      <c r="F5" t="s">
        <v>4</v>
      </c>
      <c r="G5" s="1">
        <v>46120</v>
      </c>
      <c r="H5" t="s">
        <v>5</v>
      </c>
      <c r="I5" t="s">
        <v>14</v>
      </c>
      <c r="J5" s="2">
        <v>7200555000000</v>
      </c>
      <c r="K5" s="2">
        <v>6230497000000</v>
      </c>
      <c r="L5" s="2">
        <v>736000000</v>
      </c>
      <c r="M5" s="2">
        <v>189000000</v>
      </c>
      <c r="N5" s="2">
        <v>245000000</v>
      </c>
    </row>
    <row r="6" spans="1:20" x14ac:dyDescent="0.25">
      <c r="A6">
        <v>289</v>
      </c>
      <c r="B6" t="s">
        <v>15</v>
      </c>
      <c r="C6" t="s">
        <v>1</v>
      </c>
      <c r="D6" t="s">
        <v>2</v>
      </c>
      <c r="E6" t="s">
        <v>12</v>
      </c>
      <c r="F6" t="s">
        <v>4</v>
      </c>
      <c r="G6" s="1">
        <v>46120</v>
      </c>
      <c r="H6" t="s">
        <v>5</v>
      </c>
      <c r="I6" t="s">
        <v>16</v>
      </c>
      <c r="J6" s="2">
        <v>226668000000</v>
      </c>
      <c r="K6" s="2">
        <v>196131000000</v>
      </c>
      <c r="L6" s="2">
        <v>927000000</v>
      </c>
      <c r="M6" s="2">
        <v>177000000</v>
      </c>
      <c r="N6" t="s">
        <v>17</v>
      </c>
    </row>
    <row r="7" spans="1:20" x14ac:dyDescent="0.25">
      <c r="A7">
        <v>288</v>
      </c>
      <c r="B7" t="s">
        <v>18</v>
      </c>
      <c r="C7" t="s">
        <v>8</v>
      </c>
      <c r="D7" t="s">
        <v>9</v>
      </c>
      <c r="E7" t="s">
        <v>12</v>
      </c>
      <c r="F7" t="s">
        <v>4</v>
      </c>
      <c r="G7" s="1">
        <v>46120</v>
      </c>
      <c r="H7" t="s">
        <v>5</v>
      </c>
      <c r="I7" t="s">
        <v>19</v>
      </c>
      <c r="J7" s="2">
        <v>7228197000000</v>
      </c>
      <c r="K7" s="2">
        <v>6254414000000</v>
      </c>
      <c r="L7" s="2">
        <v>370000000</v>
      </c>
      <c r="M7" s="2">
        <v>149000000</v>
      </c>
      <c r="N7" t="s">
        <v>20</v>
      </c>
    </row>
    <row r="8" spans="1:20" x14ac:dyDescent="0.25">
      <c r="A8">
        <v>287</v>
      </c>
      <c r="B8" t="s">
        <v>18</v>
      </c>
      <c r="C8" t="s">
        <v>1</v>
      </c>
      <c r="D8" t="s">
        <v>2</v>
      </c>
      <c r="E8" t="s">
        <v>3</v>
      </c>
      <c r="F8" t="s">
        <v>4</v>
      </c>
      <c r="G8" s="1">
        <v>46120</v>
      </c>
      <c r="H8" t="s">
        <v>5</v>
      </c>
      <c r="I8" t="s">
        <v>21</v>
      </c>
      <c r="J8" s="2">
        <v>226388000000</v>
      </c>
      <c r="K8" s="2">
        <v>195889000000</v>
      </c>
      <c r="L8" s="2">
        <v>898000000</v>
      </c>
      <c r="M8" s="2">
        <v>383000000</v>
      </c>
      <c r="N8" t="s">
        <v>17</v>
      </c>
    </row>
    <row r="9" spans="1:20" x14ac:dyDescent="0.25">
      <c r="A9">
        <v>286</v>
      </c>
      <c r="B9" t="s">
        <v>7</v>
      </c>
      <c r="C9" t="s">
        <v>22</v>
      </c>
      <c r="D9" t="s">
        <v>9</v>
      </c>
      <c r="E9" t="s">
        <v>3</v>
      </c>
      <c r="F9" t="s">
        <v>4</v>
      </c>
      <c r="G9" s="1">
        <v>46120</v>
      </c>
      <c r="H9" t="s">
        <v>5</v>
      </c>
      <c r="I9" t="s">
        <v>23</v>
      </c>
      <c r="J9" s="2">
        <v>7208162000000</v>
      </c>
      <c r="K9" s="2">
        <v>6237079000000</v>
      </c>
      <c r="L9" s="2">
        <v>768000000</v>
      </c>
      <c r="M9" s="2">
        <v>399000000</v>
      </c>
      <c r="N9" s="2">
        <v>175000000</v>
      </c>
    </row>
    <row r="10" spans="1:20" x14ac:dyDescent="0.25">
      <c r="A10">
        <v>285</v>
      </c>
      <c r="B10" t="s">
        <v>18</v>
      </c>
      <c r="C10" t="s">
        <v>1</v>
      </c>
      <c r="D10" t="s">
        <v>2</v>
      </c>
      <c r="E10" t="s">
        <v>3</v>
      </c>
      <c r="F10" t="s">
        <v>4</v>
      </c>
      <c r="G10" s="1">
        <v>46120</v>
      </c>
      <c r="H10" t="s">
        <v>5</v>
      </c>
      <c r="I10" t="s">
        <v>24</v>
      </c>
      <c r="J10" s="2">
        <v>225870000000</v>
      </c>
      <c r="K10" s="2">
        <v>195441000000</v>
      </c>
      <c r="L10" s="2">
        <v>739000000</v>
      </c>
      <c r="M10" s="2">
        <v>176000000</v>
      </c>
      <c r="N10" s="2">
        <v>198000000</v>
      </c>
    </row>
    <row r="11" spans="1:20" x14ac:dyDescent="0.25">
      <c r="A11">
        <v>284</v>
      </c>
      <c r="B11" t="s">
        <v>11</v>
      </c>
      <c r="C11" t="s">
        <v>1</v>
      </c>
      <c r="D11" t="s">
        <v>9</v>
      </c>
      <c r="E11" t="s">
        <v>3</v>
      </c>
      <c r="F11" t="s">
        <v>4</v>
      </c>
      <c r="G11" s="1">
        <v>46120</v>
      </c>
      <c r="H11" t="s">
        <v>5</v>
      </c>
      <c r="I11" t="s">
        <v>25</v>
      </c>
      <c r="J11" s="2">
        <v>7186164000000</v>
      </c>
      <c r="K11" s="2">
        <v>6218044000000</v>
      </c>
      <c r="L11" s="2">
        <v>394000000</v>
      </c>
      <c r="M11" s="2">
        <v>332000000</v>
      </c>
      <c r="N11" s="2">
        <v>109000000</v>
      </c>
    </row>
    <row r="12" spans="1:20" x14ac:dyDescent="0.25">
      <c r="A12">
        <v>283</v>
      </c>
      <c r="B12" t="s">
        <v>26</v>
      </c>
      <c r="C12" t="s">
        <v>8</v>
      </c>
      <c r="D12" t="s">
        <v>2</v>
      </c>
      <c r="E12" t="s">
        <v>12</v>
      </c>
      <c r="F12" t="s">
        <v>4</v>
      </c>
      <c r="G12" s="1">
        <v>46120</v>
      </c>
      <c r="H12" t="s">
        <v>5</v>
      </c>
      <c r="I12" t="s">
        <v>27</v>
      </c>
      <c r="J12" s="2">
        <v>226005000000</v>
      </c>
      <c r="K12" s="2">
        <v>195558000000</v>
      </c>
      <c r="L12" s="2">
        <v>748000000</v>
      </c>
      <c r="M12" s="2">
        <v>327000000</v>
      </c>
      <c r="N12" s="2">
        <v>107000000</v>
      </c>
    </row>
    <row r="13" spans="1:20" x14ac:dyDescent="0.25">
      <c r="A13">
        <v>282</v>
      </c>
      <c r="B13" t="s">
        <v>11</v>
      </c>
      <c r="C13" t="s">
        <v>1</v>
      </c>
      <c r="D13" t="s">
        <v>9</v>
      </c>
      <c r="E13" t="s">
        <v>3</v>
      </c>
      <c r="F13" t="s">
        <v>4</v>
      </c>
      <c r="G13" s="1">
        <v>46120</v>
      </c>
      <c r="H13" t="s">
        <v>5</v>
      </c>
      <c r="I13" t="s">
        <v>28</v>
      </c>
      <c r="J13" s="2">
        <v>7225614000000</v>
      </c>
      <c r="K13" s="2">
        <v>6252179000000</v>
      </c>
      <c r="L13" s="2">
        <v>491000000</v>
      </c>
      <c r="M13" s="2">
        <v>276000000</v>
      </c>
      <c r="N13" s="2">
        <v>107000000</v>
      </c>
    </row>
    <row r="14" spans="1:20" x14ac:dyDescent="0.25">
      <c r="A14">
        <v>281</v>
      </c>
      <c r="B14" t="s">
        <v>15</v>
      </c>
      <c r="C14" t="s">
        <v>22</v>
      </c>
      <c r="D14" t="s">
        <v>2</v>
      </c>
      <c r="E14" t="s">
        <v>12</v>
      </c>
      <c r="F14" t="s">
        <v>4</v>
      </c>
      <c r="G14" s="1">
        <v>46120</v>
      </c>
      <c r="H14" t="s">
        <v>5</v>
      </c>
      <c r="I14" t="s">
        <v>29</v>
      </c>
      <c r="J14" s="2">
        <v>226548000000</v>
      </c>
      <c r="K14" s="2">
        <v>196028000000</v>
      </c>
      <c r="L14" s="2">
        <v>964000000</v>
      </c>
      <c r="M14" s="2">
        <v>132000000</v>
      </c>
      <c r="N14" s="2">
        <v>123000000</v>
      </c>
      <c r="R14" s="3"/>
    </row>
    <row r="15" spans="1:20" x14ac:dyDescent="0.25">
      <c r="A15">
        <v>280</v>
      </c>
      <c r="B15" t="s">
        <v>18</v>
      </c>
      <c r="C15" t="s">
        <v>22</v>
      </c>
      <c r="D15" t="s">
        <v>9</v>
      </c>
      <c r="E15" t="s">
        <v>12</v>
      </c>
      <c r="F15" t="s">
        <v>4</v>
      </c>
      <c r="G15" s="1">
        <v>46120</v>
      </c>
      <c r="H15" t="s">
        <v>5</v>
      </c>
      <c r="I15" t="s">
        <v>30</v>
      </c>
      <c r="J15" s="2">
        <v>7215437000000</v>
      </c>
      <c r="K15" s="2">
        <v>6243374000000</v>
      </c>
      <c r="L15" s="2">
        <v>809000000</v>
      </c>
      <c r="M15" s="2">
        <v>163000000</v>
      </c>
      <c r="N15" s="2">
        <v>100000000</v>
      </c>
      <c r="R15" s="4"/>
    </row>
    <row r="16" spans="1:20" x14ac:dyDescent="0.25">
      <c r="A16">
        <v>279</v>
      </c>
      <c r="B16" t="s">
        <v>7</v>
      </c>
      <c r="C16" t="s">
        <v>1</v>
      </c>
      <c r="D16" t="s">
        <v>2</v>
      </c>
      <c r="E16" t="s">
        <v>12</v>
      </c>
      <c r="F16" t="s">
        <v>4</v>
      </c>
      <c r="G16" s="1">
        <v>46120</v>
      </c>
      <c r="H16" t="s">
        <v>5</v>
      </c>
      <c r="I16" t="s">
        <v>31</v>
      </c>
      <c r="J16" s="2">
        <v>226531000000</v>
      </c>
      <c r="K16" s="2">
        <v>196013000000</v>
      </c>
      <c r="L16" s="2">
        <v>456000000</v>
      </c>
      <c r="M16" s="2">
        <v>302000000</v>
      </c>
      <c r="N16" t="s">
        <v>32</v>
      </c>
      <c r="R16" s="4"/>
    </row>
    <row r="17" spans="1:18" x14ac:dyDescent="0.25">
      <c r="A17">
        <v>278</v>
      </c>
      <c r="B17" t="s">
        <v>26</v>
      </c>
      <c r="C17" t="s">
        <v>8</v>
      </c>
      <c r="D17" t="s">
        <v>9</v>
      </c>
      <c r="E17" t="s">
        <v>3</v>
      </c>
      <c r="F17" t="s">
        <v>4</v>
      </c>
      <c r="G17" s="1">
        <v>46120</v>
      </c>
      <c r="H17" t="s">
        <v>5</v>
      </c>
      <c r="I17" t="s">
        <v>33</v>
      </c>
      <c r="J17" s="2">
        <v>7231843000000</v>
      </c>
      <c r="K17" s="2">
        <v>6257570000000</v>
      </c>
      <c r="L17" s="2">
        <v>962000000</v>
      </c>
      <c r="M17" s="2">
        <v>356000000</v>
      </c>
      <c r="N17" t="s">
        <v>34</v>
      </c>
      <c r="R17" s="4"/>
    </row>
    <row r="18" spans="1:18" x14ac:dyDescent="0.25">
      <c r="A18">
        <v>277</v>
      </c>
      <c r="B18" t="s">
        <v>7</v>
      </c>
      <c r="C18" t="s">
        <v>8</v>
      </c>
      <c r="D18" t="s">
        <v>2</v>
      </c>
      <c r="E18" t="s">
        <v>12</v>
      </c>
      <c r="F18" t="s">
        <v>4</v>
      </c>
      <c r="G18" s="1">
        <v>46120</v>
      </c>
      <c r="H18" t="s">
        <v>5</v>
      </c>
      <c r="I18" t="s">
        <v>35</v>
      </c>
      <c r="J18" s="2">
        <v>226019000000</v>
      </c>
      <c r="K18" s="2">
        <v>195570000000</v>
      </c>
      <c r="L18" s="2">
        <v>960000000</v>
      </c>
      <c r="M18" s="2">
        <v>283000000</v>
      </c>
      <c r="N18" s="2">
        <v>141000000</v>
      </c>
      <c r="R18" s="4"/>
    </row>
    <row r="19" spans="1:18" x14ac:dyDescent="0.25">
      <c r="A19">
        <v>276</v>
      </c>
      <c r="B19" t="s">
        <v>15</v>
      </c>
      <c r="C19" t="s">
        <v>22</v>
      </c>
      <c r="D19" t="s">
        <v>9</v>
      </c>
      <c r="E19" t="s">
        <v>3</v>
      </c>
      <c r="F19" t="s">
        <v>4</v>
      </c>
      <c r="G19" s="1">
        <v>46120</v>
      </c>
      <c r="H19" t="s">
        <v>36</v>
      </c>
      <c r="I19" t="s">
        <v>37</v>
      </c>
      <c r="J19" s="2">
        <v>7146772000000</v>
      </c>
      <c r="K19" s="2">
        <v>6183959000000</v>
      </c>
      <c r="L19" s="2">
        <v>525000000</v>
      </c>
      <c r="M19" s="2">
        <v>466000000</v>
      </c>
      <c r="N19" s="2">
        <v>281000000</v>
      </c>
      <c r="R19" s="4"/>
    </row>
    <row r="20" spans="1:18" x14ac:dyDescent="0.25">
      <c r="A20">
        <v>275</v>
      </c>
      <c r="B20" t="s">
        <v>18</v>
      </c>
      <c r="C20" t="s">
        <v>8</v>
      </c>
      <c r="D20" t="s">
        <v>2</v>
      </c>
      <c r="E20" t="s">
        <v>12</v>
      </c>
      <c r="F20" t="s">
        <v>4</v>
      </c>
      <c r="G20" s="1">
        <v>46120</v>
      </c>
      <c r="H20" t="s">
        <v>5</v>
      </c>
      <c r="I20" t="s">
        <v>38</v>
      </c>
      <c r="J20" s="2">
        <v>227318000000</v>
      </c>
      <c r="K20" s="2">
        <v>196694000000</v>
      </c>
      <c r="L20" s="2">
        <v>538000000</v>
      </c>
      <c r="M20" s="2">
        <v>116000000</v>
      </c>
      <c r="N20" s="2">
        <v>298000000</v>
      </c>
      <c r="R20" s="4"/>
    </row>
    <row r="21" spans="1:18" x14ac:dyDescent="0.25">
      <c r="A21">
        <v>274</v>
      </c>
      <c r="B21" t="s">
        <v>7</v>
      </c>
      <c r="C21" t="s">
        <v>1</v>
      </c>
      <c r="D21" t="s">
        <v>9</v>
      </c>
      <c r="E21" t="s">
        <v>3</v>
      </c>
      <c r="F21" t="s">
        <v>4</v>
      </c>
      <c r="G21" s="1">
        <v>46120</v>
      </c>
      <c r="H21" t="s">
        <v>5</v>
      </c>
      <c r="I21" t="s">
        <v>39</v>
      </c>
      <c r="J21" s="2">
        <v>7210332000000</v>
      </c>
      <c r="K21" s="2">
        <v>6238956000000</v>
      </c>
      <c r="L21" s="2">
        <v>895000000</v>
      </c>
      <c r="M21" s="2">
        <v>252000000</v>
      </c>
      <c r="N21" s="2">
        <v>275000000</v>
      </c>
      <c r="R21" s="4"/>
    </row>
    <row r="22" spans="1:18" x14ac:dyDescent="0.25">
      <c r="A22">
        <v>273</v>
      </c>
      <c r="B22" t="s">
        <v>18</v>
      </c>
      <c r="C22" t="s">
        <v>1</v>
      </c>
      <c r="D22" t="s">
        <v>2</v>
      </c>
      <c r="E22" t="s">
        <v>3</v>
      </c>
      <c r="F22" t="s">
        <v>4</v>
      </c>
      <c r="G22" s="1">
        <v>46120</v>
      </c>
      <c r="H22" t="s">
        <v>5</v>
      </c>
      <c r="I22" t="s">
        <v>40</v>
      </c>
      <c r="J22" s="2">
        <v>226332000000</v>
      </c>
      <c r="K22" s="2">
        <v>195841000000</v>
      </c>
      <c r="L22" s="2">
        <v>885000000</v>
      </c>
      <c r="M22" s="2">
        <v>223000000</v>
      </c>
      <c r="N22" s="2">
        <v>284000000</v>
      </c>
      <c r="R22" s="4"/>
    </row>
    <row r="23" spans="1:18" x14ac:dyDescent="0.25">
      <c r="A23">
        <v>272</v>
      </c>
      <c r="B23" t="s">
        <v>15</v>
      </c>
      <c r="C23" t="s">
        <v>22</v>
      </c>
      <c r="D23" t="s">
        <v>9</v>
      </c>
      <c r="E23" t="s">
        <v>12</v>
      </c>
      <c r="F23" t="s">
        <v>4</v>
      </c>
      <c r="G23" s="1">
        <v>46120</v>
      </c>
      <c r="H23" t="s">
        <v>5</v>
      </c>
      <c r="I23" t="s">
        <v>41</v>
      </c>
      <c r="J23" s="2">
        <v>7222674000000</v>
      </c>
      <c r="K23" s="2">
        <v>6249635000000</v>
      </c>
      <c r="L23" s="2">
        <v>916000000</v>
      </c>
      <c r="M23" s="2">
        <v>120000000</v>
      </c>
      <c r="N23" t="s">
        <v>42</v>
      </c>
      <c r="R23" s="4"/>
    </row>
    <row r="24" spans="1:18" x14ac:dyDescent="0.25">
      <c r="A24">
        <v>271</v>
      </c>
      <c r="B24" t="s">
        <v>15</v>
      </c>
      <c r="C24" t="s">
        <v>1</v>
      </c>
      <c r="D24" t="s">
        <v>2</v>
      </c>
      <c r="E24" t="s">
        <v>3</v>
      </c>
      <c r="F24" t="s">
        <v>4</v>
      </c>
      <c r="G24" s="1">
        <v>46120</v>
      </c>
      <c r="H24" t="s">
        <v>5</v>
      </c>
      <c r="I24" t="s">
        <v>43</v>
      </c>
      <c r="J24" s="2">
        <v>227191000000</v>
      </c>
      <c r="K24" s="2">
        <v>196584000000</v>
      </c>
      <c r="L24" s="2">
        <v>596000000</v>
      </c>
      <c r="M24" s="2">
        <v>163000000</v>
      </c>
      <c r="N24" s="2">
        <v>202000000</v>
      </c>
      <c r="R24" s="4"/>
    </row>
    <row r="25" spans="1:18" x14ac:dyDescent="0.25">
      <c r="A25">
        <v>270</v>
      </c>
      <c r="B25" t="s">
        <v>11</v>
      </c>
      <c r="C25" t="s">
        <v>1</v>
      </c>
      <c r="D25" t="s">
        <v>9</v>
      </c>
      <c r="E25" t="s">
        <v>12</v>
      </c>
      <c r="F25" t="s">
        <v>4</v>
      </c>
      <c r="G25" s="1">
        <v>46120</v>
      </c>
      <c r="H25" t="s">
        <v>5</v>
      </c>
      <c r="I25" t="s">
        <v>44</v>
      </c>
      <c r="J25" s="2">
        <v>7203487000000</v>
      </c>
      <c r="K25" s="2">
        <v>6233033000000</v>
      </c>
      <c r="L25" s="2">
        <v>469000000</v>
      </c>
      <c r="M25" s="2">
        <v>114000000</v>
      </c>
      <c r="N25" t="s">
        <v>45</v>
      </c>
      <c r="R25" s="4"/>
    </row>
    <row r="26" spans="1:18" x14ac:dyDescent="0.25">
      <c r="A26">
        <v>269</v>
      </c>
      <c r="B26" t="s">
        <v>7</v>
      </c>
      <c r="C26" t="s">
        <v>1</v>
      </c>
      <c r="D26" t="s">
        <v>2</v>
      </c>
      <c r="E26" t="s">
        <v>3</v>
      </c>
      <c r="F26" t="s">
        <v>4</v>
      </c>
      <c r="G26" s="1">
        <v>46120</v>
      </c>
      <c r="H26" t="s">
        <v>5</v>
      </c>
      <c r="I26" t="s">
        <v>46</v>
      </c>
      <c r="J26" s="2">
        <v>226754000000</v>
      </c>
      <c r="K26" s="2">
        <v>196206000000</v>
      </c>
      <c r="L26" s="2">
        <v>965000000</v>
      </c>
      <c r="M26" s="2">
        <v>176000000</v>
      </c>
      <c r="N26" s="2">
        <v>170000000</v>
      </c>
      <c r="R26" s="4"/>
    </row>
    <row r="27" spans="1:18" x14ac:dyDescent="0.25">
      <c r="A27">
        <v>268</v>
      </c>
      <c r="B27" t="s">
        <v>0</v>
      </c>
      <c r="C27" t="s">
        <v>1</v>
      </c>
      <c r="D27" t="s">
        <v>9</v>
      </c>
      <c r="E27" t="s">
        <v>12</v>
      </c>
      <c r="F27" t="s">
        <v>4</v>
      </c>
      <c r="G27" s="1">
        <v>46120</v>
      </c>
      <c r="H27" t="s">
        <v>5</v>
      </c>
      <c r="I27" t="s">
        <v>47</v>
      </c>
      <c r="J27" s="2">
        <v>7190797000000</v>
      </c>
      <c r="K27" s="2">
        <v>6222053000000</v>
      </c>
      <c r="L27" s="2">
        <v>302000000</v>
      </c>
      <c r="M27" s="2">
        <v>172000000</v>
      </c>
      <c r="N27" s="2">
        <v>294000000</v>
      </c>
      <c r="R27" s="4"/>
    </row>
    <row r="28" spans="1:18" x14ac:dyDescent="0.25">
      <c r="A28">
        <v>267</v>
      </c>
      <c r="B28" t="s">
        <v>11</v>
      </c>
      <c r="C28" t="s">
        <v>1</v>
      </c>
      <c r="D28" t="s">
        <v>2</v>
      </c>
      <c r="E28" t="s">
        <v>12</v>
      </c>
      <c r="F28" t="s">
        <v>4</v>
      </c>
      <c r="G28" s="1">
        <v>46120</v>
      </c>
      <c r="H28" t="s">
        <v>5</v>
      </c>
      <c r="I28" t="s">
        <v>48</v>
      </c>
      <c r="J28" s="2">
        <v>225692000000</v>
      </c>
      <c r="K28" s="2">
        <v>195287000000</v>
      </c>
      <c r="L28" s="2">
        <v>738000000</v>
      </c>
      <c r="M28" s="2">
        <v>300000000</v>
      </c>
      <c r="N28" t="s">
        <v>49</v>
      </c>
    </row>
    <row r="29" spans="1:18" x14ac:dyDescent="0.25">
      <c r="A29">
        <v>266</v>
      </c>
      <c r="B29" t="s">
        <v>0</v>
      </c>
      <c r="C29" t="s">
        <v>8</v>
      </c>
      <c r="D29" t="s">
        <v>9</v>
      </c>
      <c r="E29" t="s">
        <v>12</v>
      </c>
      <c r="F29" t="s">
        <v>4</v>
      </c>
      <c r="G29" s="1">
        <v>46120</v>
      </c>
      <c r="H29" t="s">
        <v>5</v>
      </c>
      <c r="I29" t="s">
        <v>50</v>
      </c>
      <c r="J29" s="2">
        <v>7211812000000</v>
      </c>
      <c r="K29" s="2">
        <v>6240237000000</v>
      </c>
      <c r="L29" s="2">
        <v>248000000</v>
      </c>
      <c r="M29" s="2">
        <v>211000000</v>
      </c>
      <c r="N29" s="2">
        <v>298000000</v>
      </c>
    </row>
    <row r="30" spans="1:18" x14ac:dyDescent="0.25">
      <c r="A30">
        <v>265</v>
      </c>
      <c r="B30" t="s">
        <v>11</v>
      </c>
      <c r="C30" t="s">
        <v>22</v>
      </c>
      <c r="D30" t="s">
        <v>2</v>
      </c>
      <c r="E30" t="s">
        <v>12</v>
      </c>
      <c r="F30" t="s">
        <v>4</v>
      </c>
      <c r="G30" s="1">
        <v>46120</v>
      </c>
      <c r="H30" t="s">
        <v>5</v>
      </c>
      <c r="I30" t="s">
        <v>51</v>
      </c>
      <c r="J30" s="2">
        <v>225281000000</v>
      </c>
      <c r="K30" s="2">
        <v>194932000000</v>
      </c>
      <c r="L30" s="2">
        <v>996000000</v>
      </c>
      <c r="M30" s="2">
        <v>119000000</v>
      </c>
      <c r="N30" t="s">
        <v>52</v>
      </c>
    </row>
    <row r="31" spans="1:18" x14ac:dyDescent="0.25">
      <c r="A31">
        <v>264</v>
      </c>
      <c r="B31" t="s">
        <v>15</v>
      </c>
      <c r="C31" t="s">
        <v>8</v>
      </c>
      <c r="D31" t="s">
        <v>9</v>
      </c>
      <c r="E31" t="s">
        <v>3</v>
      </c>
      <c r="F31" t="s">
        <v>4</v>
      </c>
      <c r="G31" s="1">
        <v>46120</v>
      </c>
      <c r="H31" t="s">
        <v>5</v>
      </c>
      <c r="I31" t="s">
        <v>53</v>
      </c>
      <c r="J31" s="2">
        <v>7191764000000</v>
      </c>
      <c r="K31" s="2">
        <v>6222889000000</v>
      </c>
      <c r="L31" s="2">
        <v>454000000</v>
      </c>
      <c r="M31" s="2">
        <v>248000000</v>
      </c>
      <c r="N31" s="2">
        <v>127000000</v>
      </c>
    </row>
    <row r="32" spans="1:18" x14ac:dyDescent="0.25">
      <c r="A32">
        <v>263</v>
      </c>
      <c r="B32" t="s">
        <v>18</v>
      </c>
      <c r="C32" t="s">
        <v>22</v>
      </c>
      <c r="D32" t="s">
        <v>2</v>
      </c>
      <c r="E32" t="s">
        <v>3</v>
      </c>
      <c r="F32" t="s">
        <v>4</v>
      </c>
      <c r="G32" s="1">
        <v>46120</v>
      </c>
      <c r="H32" t="s">
        <v>5</v>
      </c>
      <c r="I32" t="s">
        <v>54</v>
      </c>
      <c r="J32" s="2">
        <v>226569000000</v>
      </c>
      <c r="K32" s="2">
        <v>196046000000</v>
      </c>
      <c r="L32" s="2">
        <v>648000000</v>
      </c>
      <c r="M32" s="2">
        <v>439000000</v>
      </c>
      <c r="N32" t="s">
        <v>55</v>
      </c>
    </row>
    <row r="33" spans="1:14" x14ac:dyDescent="0.25">
      <c r="A33">
        <v>262</v>
      </c>
      <c r="B33" t="s">
        <v>11</v>
      </c>
      <c r="C33" t="s">
        <v>1</v>
      </c>
      <c r="D33" t="s">
        <v>9</v>
      </c>
      <c r="E33" t="s">
        <v>3</v>
      </c>
      <c r="F33" t="s">
        <v>4</v>
      </c>
      <c r="G33" s="1">
        <v>46120</v>
      </c>
      <c r="H33" t="s">
        <v>36</v>
      </c>
      <c r="I33" t="s">
        <v>56</v>
      </c>
      <c r="J33" s="2">
        <v>7139327000000</v>
      </c>
      <c r="K33" s="2">
        <v>6177517000000</v>
      </c>
      <c r="L33" s="2">
        <v>833000000</v>
      </c>
      <c r="M33" s="2">
        <v>432000000</v>
      </c>
      <c r="N33" s="2">
        <v>129000000</v>
      </c>
    </row>
    <row r="34" spans="1:14" x14ac:dyDescent="0.25">
      <c r="A34">
        <v>261</v>
      </c>
      <c r="B34" t="s">
        <v>11</v>
      </c>
      <c r="C34" t="s">
        <v>22</v>
      </c>
      <c r="D34" t="s">
        <v>2</v>
      </c>
      <c r="E34" t="s">
        <v>12</v>
      </c>
      <c r="F34" t="s">
        <v>4</v>
      </c>
      <c r="G34" s="1">
        <v>46120</v>
      </c>
      <c r="H34" t="s">
        <v>5</v>
      </c>
      <c r="I34" t="s">
        <v>57</v>
      </c>
      <c r="J34" s="2">
        <v>227468000000</v>
      </c>
      <c r="K34" s="2">
        <v>196824000000</v>
      </c>
      <c r="L34" s="2">
        <v>662000000</v>
      </c>
      <c r="M34" s="2">
        <v>473000000</v>
      </c>
      <c r="N34" s="2">
        <v>252000000</v>
      </c>
    </row>
    <row r="35" spans="1:14" x14ac:dyDescent="0.25">
      <c r="A35">
        <v>260</v>
      </c>
      <c r="B35" t="s">
        <v>26</v>
      </c>
      <c r="C35" t="s">
        <v>1</v>
      </c>
      <c r="D35" t="s">
        <v>9</v>
      </c>
      <c r="E35" t="s">
        <v>3</v>
      </c>
      <c r="F35" t="s">
        <v>4</v>
      </c>
      <c r="G35" s="1">
        <v>46120</v>
      </c>
      <c r="H35" t="s">
        <v>5</v>
      </c>
      <c r="I35" t="s">
        <v>58</v>
      </c>
      <c r="J35" s="2">
        <v>7188096000000</v>
      </c>
      <c r="K35" s="2">
        <v>6219716000000</v>
      </c>
      <c r="L35" s="2">
        <v>573000000</v>
      </c>
      <c r="M35" s="2">
        <v>417000000</v>
      </c>
      <c r="N35" s="2">
        <v>293000000</v>
      </c>
    </row>
    <row r="36" spans="1:14" x14ac:dyDescent="0.25">
      <c r="A36">
        <v>259</v>
      </c>
      <c r="B36" t="s">
        <v>18</v>
      </c>
      <c r="C36" t="s">
        <v>8</v>
      </c>
      <c r="D36" t="s">
        <v>2</v>
      </c>
      <c r="E36" t="s">
        <v>12</v>
      </c>
      <c r="F36" t="s">
        <v>4</v>
      </c>
      <c r="G36" s="1">
        <v>46120</v>
      </c>
      <c r="H36" t="s">
        <v>36</v>
      </c>
      <c r="I36" t="s">
        <v>59</v>
      </c>
      <c r="J36" s="2">
        <v>223169000000</v>
      </c>
      <c r="K36" s="2">
        <v>193104000000</v>
      </c>
      <c r="L36" s="2">
        <v>949000000</v>
      </c>
      <c r="M36" s="2">
        <v>140000000</v>
      </c>
      <c r="N36" t="s">
        <v>60</v>
      </c>
    </row>
    <row r="37" spans="1:14" x14ac:dyDescent="0.25">
      <c r="A37">
        <v>258</v>
      </c>
      <c r="B37" t="s">
        <v>18</v>
      </c>
      <c r="C37" t="s">
        <v>1</v>
      </c>
      <c r="D37" t="s">
        <v>9</v>
      </c>
      <c r="E37" t="s">
        <v>3</v>
      </c>
      <c r="F37" t="s">
        <v>4</v>
      </c>
      <c r="G37" s="1">
        <v>46120</v>
      </c>
      <c r="H37" t="s">
        <v>5</v>
      </c>
      <c r="I37" t="s">
        <v>61</v>
      </c>
      <c r="J37" s="2">
        <v>7183764000000</v>
      </c>
      <c r="K37" s="2">
        <v>6215967000000</v>
      </c>
      <c r="L37" s="2">
        <v>439000000</v>
      </c>
      <c r="M37" s="2">
        <v>328000000</v>
      </c>
      <c r="N37" s="2">
        <v>296000000</v>
      </c>
    </row>
    <row r="38" spans="1:14" x14ac:dyDescent="0.25">
      <c r="A38">
        <v>257</v>
      </c>
      <c r="B38" t="s">
        <v>18</v>
      </c>
      <c r="C38" t="s">
        <v>8</v>
      </c>
      <c r="D38" t="s">
        <v>2</v>
      </c>
      <c r="E38" t="s">
        <v>3</v>
      </c>
      <c r="F38" t="s">
        <v>4</v>
      </c>
      <c r="G38" s="1">
        <v>46120</v>
      </c>
      <c r="H38" t="s">
        <v>5</v>
      </c>
      <c r="I38" t="s">
        <v>62</v>
      </c>
      <c r="J38" s="2">
        <v>226447000000</v>
      </c>
      <c r="K38" s="2">
        <v>195940000000</v>
      </c>
      <c r="L38" s="2">
        <v>447000000</v>
      </c>
      <c r="M38" s="2">
        <v>118000000</v>
      </c>
      <c r="N38" s="2">
        <v>251000000</v>
      </c>
    </row>
    <row r="39" spans="1:14" x14ac:dyDescent="0.25">
      <c r="A39">
        <v>256</v>
      </c>
      <c r="B39" t="s">
        <v>18</v>
      </c>
      <c r="C39" t="s">
        <v>22</v>
      </c>
      <c r="D39" t="s">
        <v>9</v>
      </c>
      <c r="E39" t="s">
        <v>12</v>
      </c>
      <c r="F39" t="s">
        <v>4</v>
      </c>
      <c r="G39" s="1">
        <v>46120</v>
      </c>
      <c r="H39" t="s">
        <v>5</v>
      </c>
      <c r="I39" t="s">
        <v>63</v>
      </c>
      <c r="J39" s="2">
        <v>7177732000000</v>
      </c>
      <c r="K39" s="2">
        <v>6210748000000</v>
      </c>
      <c r="L39" s="2">
        <v>960000000</v>
      </c>
      <c r="M39" s="2">
        <v>206000000</v>
      </c>
      <c r="N39" t="s">
        <v>64</v>
      </c>
    </row>
    <row r="40" spans="1:14" x14ac:dyDescent="0.25">
      <c r="A40">
        <v>255</v>
      </c>
      <c r="B40" t="s">
        <v>7</v>
      </c>
      <c r="C40" t="s">
        <v>1</v>
      </c>
      <c r="D40" t="s">
        <v>2</v>
      </c>
      <c r="E40" t="s">
        <v>12</v>
      </c>
      <c r="F40" t="s">
        <v>4</v>
      </c>
      <c r="G40" s="1">
        <v>46120</v>
      </c>
      <c r="H40" t="s">
        <v>5</v>
      </c>
      <c r="I40" t="s">
        <v>65</v>
      </c>
      <c r="J40" s="2">
        <v>225655000000</v>
      </c>
      <c r="K40" s="2">
        <v>195255000000</v>
      </c>
      <c r="L40" s="2">
        <v>933000000</v>
      </c>
      <c r="M40" s="2">
        <v>476000000</v>
      </c>
      <c r="N40" t="s">
        <v>66</v>
      </c>
    </row>
    <row r="41" spans="1:14" x14ac:dyDescent="0.25">
      <c r="A41">
        <v>254</v>
      </c>
      <c r="B41" t="s">
        <v>7</v>
      </c>
      <c r="C41" t="s">
        <v>1</v>
      </c>
      <c r="D41" t="s">
        <v>9</v>
      </c>
      <c r="E41" t="s">
        <v>3</v>
      </c>
      <c r="F41" t="s">
        <v>4</v>
      </c>
      <c r="G41" s="1">
        <v>46120</v>
      </c>
      <c r="H41" t="s">
        <v>5</v>
      </c>
      <c r="I41" t="s">
        <v>67</v>
      </c>
      <c r="J41" s="2">
        <v>7207114000000</v>
      </c>
      <c r="K41" s="2">
        <v>6236172000000</v>
      </c>
      <c r="L41" s="2">
        <v>747000000</v>
      </c>
      <c r="M41" s="2">
        <v>244000000</v>
      </c>
      <c r="N41" s="2">
        <v>230000000</v>
      </c>
    </row>
    <row r="42" spans="1:14" x14ac:dyDescent="0.25">
      <c r="A42">
        <v>253</v>
      </c>
      <c r="B42" t="s">
        <v>7</v>
      </c>
      <c r="C42" t="s">
        <v>8</v>
      </c>
      <c r="D42" t="s">
        <v>2</v>
      </c>
      <c r="E42" t="s">
        <v>3</v>
      </c>
      <c r="F42" t="s">
        <v>4</v>
      </c>
      <c r="G42" s="1">
        <v>46120</v>
      </c>
      <c r="H42" t="s">
        <v>5</v>
      </c>
      <c r="I42" t="s">
        <v>68</v>
      </c>
      <c r="J42" s="2">
        <v>224596000000</v>
      </c>
      <c r="K42" s="2">
        <v>194339000000</v>
      </c>
      <c r="L42" s="2">
        <v>775000000</v>
      </c>
      <c r="M42" s="2">
        <v>266000000</v>
      </c>
      <c r="N42" t="s">
        <v>69</v>
      </c>
    </row>
    <row r="43" spans="1:14" x14ac:dyDescent="0.25">
      <c r="A43">
        <v>252</v>
      </c>
      <c r="B43" t="s">
        <v>11</v>
      </c>
      <c r="C43" t="s">
        <v>1</v>
      </c>
      <c r="D43" t="s">
        <v>9</v>
      </c>
      <c r="E43" t="s">
        <v>12</v>
      </c>
      <c r="F43" t="s">
        <v>4</v>
      </c>
      <c r="G43" s="1">
        <v>46120</v>
      </c>
      <c r="H43" t="s">
        <v>5</v>
      </c>
      <c r="I43" t="s">
        <v>70</v>
      </c>
      <c r="J43" s="2">
        <v>7189686000000</v>
      </c>
      <c r="K43" s="2">
        <v>6221091000000</v>
      </c>
      <c r="L43" s="2">
        <v>942000000</v>
      </c>
      <c r="M43" s="2">
        <v>255000000</v>
      </c>
      <c r="N43" s="2">
        <v>108000000</v>
      </c>
    </row>
    <row r="44" spans="1:14" x14ac:dyDescent="0.25">
      <c r="A44">
        <v>251</v>
      </c>
      <c r="B44" t="s">
        <v>7</v>
      </c>
      <c r="C44" t="s">
        <v>1</v>
      </c>
      <c r="D44" t="s">
        <v>2</v>
      </c>
      <c r="E44" t="s">
        <v>3</v>
      </c>
      <c r="F44" t="s">
        <v>4</v>
      </c>
      <c r="G44" s="1">
        <v>46120</v>
      </c>
      <c r="H44" t="s">
        <v>5</v>
      </c>
      <c r="I44" t="s">
        <v>71</v>
      </c>
      <c r="J44" s="2">
        <v>225739000000</v>
      </c>
      <c r="K44" s="2">
        <v>195328000000</v>
      </c>
      <c r="L44" s="2">
        <v>544000000</v>
      </c>
      <c r="M44" s="2">
        <v>224000000</v>
      </c>
      <c r="N44" s="2">
        <v>167000000</v>
      </c>
    </row>
    <row r="45" spans="1:14" x14ac:dyDescent="0.25">
      <c r="A45">
        <v>250</v>
      </c>
      <c r="B45" t="s">
        <v>0</v>
      </c>
      <c r="C45" t="s">
        <v>22</v>
      </c>
      <c r="D45" t="s">
        <v>9</v>
      </c>
      <c r="E45" t="s">
        <v>12</v>
      </c>
      <c r="F45" t="s">
        <v>4</v>
      </c>
      <c r="G45" s="1">
        <v>46120</v>
      </c>
      <c r="H45" t="s">
        <v>5</v>
      </c>
      <c r="I45" t="s">
        <v>72</v>
      </c>
      <c r="J45" s="2">
        <v>7221122000000</v>
      </c>
      <c r="K45" s="2">
        <v>6248292000000</v>
      </c>
      <c r="L45" s="2">
        <v>400000000</v>
      </c>
      <c r="M45" s="2">
        <v>201000000</v>
      </c>
      <c r="N45" s="2">
        <v>125000000</v>
      </c>
    </row>
    <row r="46" spans="1:14" x14ac:dyDescent="0.25">
      <c r="A46">
        <v>249</v>
      </c>
      <c r="B46" t="s">
        <v>0</v>
      </c>
      <c r="C46" t="s">
        <v>22</v>
      </c>
      <c r="D46" t="s">
        <v>2</v>
      </c>
      <c r="E46" t="s">
        <v>3</v>
      </c>
      <c r="F46" t="s">
        <v>4</v>
      </c>
      <c r="G46" s="1">
        <v>46120</v>
      </c>
      <c r="H46" t="s">
        <v>5</v>
      </c>
      <c r="I46" t="s">
        <v>73</v>
      </c>
      <c r="J46" s="2">
        <v>226648000000</v>
      </c>
      <c r="K46" s="2">
        <v>196114000000</v>
      </c>
      <c r="L46" s="2">
        <v>691000000</v>
      </c>
      <c r="M46" s="2">
        <v>415000000</v>
      </c>
      <c r="N46" t="s">
        <v>42</v>
      </c>
    </row>
    <row r="47" spans="1:14" x14ac:dyDescent="0.25">
      <c r="A47">
        <v>248</v>
      </c>
      <c r="B47" t="s">
        <v>18</v>
      </c>
      <c r="C47" t="s">
        <v>1</v>
      </c>
      <c r="D47" t="s">
        <v>9</v>
      </c>
      <c r="E47" t="s">
        <v>12</v>
      </c>
      <c r="F47" t="s">
        <v>4</v>
      </c>
      <c r="G47" s="1">
        <v>46120</v>
      </c>
      <c r="H47" t="s">
        <v>5</v>
      </c>
      <c r="I47" t="s">
        <v>74</v>
      </c>
      <c r="J47" s="2">
        <v>7183166000000</v>
      </c>
      <c r="K47" s="2">
        <v>6215450000000</v>
      </c>
      <c r="L47" s="2">
        <v>502000000</v>
      </c>
      <c r="M47" s="2">
        <v>364000000</v>
      </c>
      <c r="N47" t="s">
        <v>75</v>
      </c>
    </row>
    <row r="48" spans="1:14" x14ac:dyDescent="0.25">
      <c r="A48">
        <v>247</v>
      </c>
      <c r="B48" t="s">
        <v>18</v>
      </c>
      <c r="C48" t="s">
        <v>22</v>
      </c>
      <c r="D48" t="s">
        <v>2</v>
      </c>
      <c r="E48" t="s">
        <v>12</v>
      </c>
      <c r="F48" t="s">
        <v>4</v>
      </c>
      <c r="G48" s="1">
        <v>46120</v>
      </c>
      <c r="H48" t="s">
        <v>5</v>
      </c>
      <c r="I48" t="s">
        <v>76</v>
      </c>
      <c r="J48" s="2">
        <v>226472000000</v>
      </c>
      <c r="K48" s="2">
        <v>195962000000</v>
      </c>
      <c r="L48" s="2">
        <v>978000000</v>
      </c>
      <c r="M48" s="2">
        <v>452000000</v>
      </c>
      <c r="N48" s="2">
        <v>137000000</v>
      </c>
    </row>
    <row r="49" spans="1:14" x14ac:dyDescent="0.25">
      <c r="A49">
        <v>246</v>
      </c>
      <c r="B49" t="s">
        <v>0</v>
      </c>
      <c r="C49" t="s">
        <v>22</v>
      </c>
      <c r="D49" t="s">
        <v>9</v>
      </c>
      <c r="E49" t="s">
        <v>3</v>
      </c>
      <c r="F49" t="s">
        <v>4</v>
      </c>
      <c r="G49" s="1">
        <v>46120</v>
      </c>
      <c r="H49" t="s">
        <v>5</v>
      </c>
      <c r="I49" t="s">
        <v>77</v>
      </c>
      <c r="J49" s="2">
        <v>7217686000000</v>
      </c>
      <c r="K49" s="2">
        <v>6245319000000</v>
      </c>
      <c r="L49" s="2">
        <v>585000000</v>
      </c>
      <c r="M49" s="2">
        <v>461000000</v>
      </c>
      <c r="N49" s="2">
        <v>183000000</v>
      </c>
    </row>
    <row r="50" spans="1:14" x14ac:dyDescent="0.25">
      <c r="A50">
        <v>245</v>
      </c>
      <c r="B50" t="s">
        <v>18</v>
      </c>
      <c r="C50" t="s">
        <v>8</v>
      </c>
      <c r="D50" t="s">
        <v>2</v>
      </c>
      <c r="E50" t="s">
        <v>12</v>
      </c>
      <c r="F50" t="s">
        <v>4</v>
      </c>
      <c r="G50" s="1">
        <v>46120</v>
      </c>
      <c r="H50" t="s">
        <v>5</v>
      </c>
      <c r="I50" t="s">
        <v>78</v>
      </c>
      <c r="J50" s="2">
        <v>225783000000</v>
      </c>
      <c r="K50" s="2">
        <v>195366000000</v>
      </c>
      <c r="L50" s="2">
        <v>939000000</v>
      </c>
      <c r="M50" s="2">
        <v>178000000</v>
      </c>
      <c r="N50" s="2">
        <v>169000000</v>
      </c>
    </row>
    <row r="51" spans="1:14" x14ac:dyDescent="0.25">
      <c r="A51">
        <v>244</v>
      </c>
      <c r="B51" t="s">
        <v>7</v>
      </c>
      <c r="C51" t="s">
        <v>1</v>
      </c>
      <c r="D51" t="s">
        <v>9</v>
      </c>
      <c r="E51" t="s">
        <v>3</v>
      </c>
      <c r="F51" t="s">
        <v>4</v>
      </c>
      <c r="G51" s="1">
        <v>46120</v>
      </c>
      <c r="H51" t="s">
        <v>5</v>
      </c>
      <c r="I51" t="s">
        <v>79</v>
      </c>
      <c r="J51" s="2">
        <v>7202205000000</v>
      </c>
      <c r="K51" s="2">
        <v>6231924000000</v>
      </c>
      <c r="L51" s="2">
        <v>227000000</v>
      </c>
      <c r="M51" s="2">
        <v>150000000</v>
      </c>
      <c r="N51" s="2">
        <v>171000000</v>
      </c>
    </row>
    <row r="52" spans="1:14" x14ac:dyDescent="0.25">
      <c r="A52">
        <v>243</v>
      </c>
      <c r="B52" t="s">
        <v>15</v>
      </c>
      <c r="C52" t="s">
        <v>22</v>
      </c>
      <c r="D52" t="s">
        <v>2</v>
      </c>
      <c r="E52" t="s">
        <v>12</v>
      </c>
      <c r="F52" t="s">
        <v>4</v>
      </c>
      <c r="G52" s="1">
        <v>46120</v>
      </c>
      <c r="H52" t="s">
        <v>5</v>
      </c>
      <c r="I52" t="s">
        <v>80</v>
      </c>
      <c r="J52" s="2">
        <v>225078000000</v>
      </c>
      <c r="K52" s="2">
        <v>194755000000</v>
      </c>
      <c r="L52" s="2">
        <v>584000000</v>
      </c>
      <c r="M52" s="2">
        <v>175000000</v>
      </c>
      <c r="N52" t="s">
        <v>81</v>
      </c>
    </row>
    <row r="53" spans="1:14" x14ac:dyDescent="0.25">
      <c r="A53">
        <v>242</v>
      </c>
      <c r="B53" t="s">
        <v>0</v>
      </c>
      <c r="C53" t="s">
        <v>8</v>
      </c>
      <c r="D53" t="s">
        <v>9</v>
      </c>
      <c r="E53" t="s">
        <v>3</v>
      </c>
      <c r="F53" t="s">
        <v>4</v>
      </c>
      <c r="G53" s="1">
        <v>46120</v>
      </c>
      <c r="H53" t="s">
        <v>5</v>
      </c>
      <c r="I53" t="s">
        <v>82</v>
      </c>
      <c r="J53" s="2">
        <v>7191055000000</v>
      </c>
      <c r="K53" s="2">
        <v>6222276000000</v>
      </c>
      <c r="L53" s="2">
        <v>356000000</v>
      </c>
      <c r="M53" s="2">
        <v>349000000</v>
      </c>
      <c r="N53" s="2">
        <v>281000000</v>
      </c>
    </row>
    <row r="54" spans="1:14" x14ac:dyDescent="0.25">
      <c r="A54">
        <v>241</v>
      </c>
      <c r="B54" t="s">
        <v>15</v>
      </c>
      <c r="C54" t="s">
        <v>1</v>
      </c>
      <c r="D54" t="s">
        <v>2</v>
      </c>
      <c r="E54" t="s">
        <v>3</v>
      </c>
      <c r="F54" t="s">
        <v>4</v>
      </c>
      <c r="G54" s="1">
        <v>46120</v>
      </c>
      <c r="H54" t="s">
        <v>5</v>
      </c>
      <c r="I54" t="s">
        <v>83</v>
      </c>
      <c r="J54" s="2">
        <v>227401000000</v>
      </c>
      <c r="K54" s="2">
        <v>196765000000</v>
      </c>
      <c r="L54" s="2">
        <v>714000000</v>
      </c>
      <c r="M54" s="2">
        <v>471000000</v>
      </c>
      <c r="N54" s="2">
        <v>123000000</v>
      </c>
    </row>
    <row r="55" spans="1:14" x14ac:dyDescent="0.25">
      <c r="A55">
        <v>240</v>
      </c>
      <c r="B55" t="s">
        <v>15</v>
      </c>
      <c r="C55" t="s">
        <v>1</v>
      </c>
      <c r="D55" t="s">
        <v>9</v>
      </c>
      <c r="E55" t="s">
        <v>12</v>
      </c>
      <c r="F55" t="s">
        <v>4</v>
      </c>
      <c r="G55" s="1">
        <v>46120</v>
      </c>
      <c r="H55" t="s">
        <v>5</v>
      </c>
      <c r="I55" t="s">
        <v>84</v>
      </c>
      <c r="J55" s="2">
        <v>7225912000000</v>
      </c>
      <c r="K55" s="2">
        <v>6252437000000</v>
      </c>
      <c r="L55" s="2">
        <v>956000000</v>
      </c>
      <c r="M55" s="2">
        <v>432000000</v>
      </c>
      <c r="N55" t="s">
        <v>85</v>
      </c>
    </row>
    <row r="56" spans="1:14" x14ac:dyDescent="0.25">
      <c r="A56">
        <v>239</v>
      </c>
      <c r="B56" t="s">
        <v>15</v>
      </c>
      <c r="C56" t="s">
        <v>22</v>
      </c>
      <c r="D56" t="s">
        <v>2</v>
      </c>
      <c r="E56" t="s">
        <v>12</v>
      </c>
      <c r="F56" t="s">
        <v>4</v>
      </c>
      <c r="G56" s="1">
        <v>46120</v>
      </c>
      <c r="H56" t="s">
        <v>5</v>
      </c>
      <c r="I56" t="s">
        <v>86</v>
      </c>
      <c r="J56" s="2">
        <v>227013000000</v>
      </c>
      <c r="K56" s="2">
        <v>196430000000</v>
      </c>
      <c r="L56" s="2">
        <v>488000000</v>
      </c>
      <c r="M56" s="2">
        <v>255000000</v>
      </c>
      <c r="N56" s="2">
        <v>228000000</v>
      </c>
    </row>
    <row r="57" spans="1:14" x14ac:dyDescent="0.25">
      <c r="A57">
        <v>238</v>
      </c>
      <c r="B57" t="s">
        <v>7</v>
      </c>
      <c r="C57" t="s">
        <v>22</v>
      </c>
      <c r="D57" t="s">
        <v>9</v>
      </c>
      <c r="E57" t="s">
        <v>12</v>
      </c>
      <c r="F57" t="s">
        <v>4</v>
      </c>
      <c r="G57" s="1">
        <v>46120</v>
      </c>
      <c r="H57" t="s">
        <v>5</v>
      </c>
      <c r="I57" t="s">
        <v>87</v>
      </c>
      <c r="J57" s="2">
        <v>7235119000000</v>
      </c>
      <c r="K57" s="2">
        <v>6260403000000</v>
      </c>
      <c r="L57" s="2">
        <v>454000000</v>
      </c>
      <c r="M57" s="2">
        <v>417000000</v>
      </c>
      <c r="N57" s="2">
        <v>239000000</v>
      </c>
    </row>
    <row r="58" spans="1:14" x14ac:dyDescent="0.25">
      <c r="A58">
        <v>237</v>
      </c>
      <c r="B58" t="s">
        <v>11</v>
      </c>
      <c r="C58" t="s">
        <v>1</v>
      </c>
      <c r="D58" t="s">
        <v>2</v>
      </c>
      <c r="E58" t="s">
        <v>3</v>
      </c>
      <c r="F58" t="s">
        <v>4</v>
      </c>
      <c r="G58" s="1">
        <v>46120</v>
      </c>
      <c r="H58" t="s">
        <v>5</v>
      </c>
      <c r="I58" t="s">
        <v>88</v>
      </c>
      <c r="J58" s="2">
        <v>226954000000</v>
      </c>
      <c r="K58" s="2">
        <v>196379000000</v>
      </c>
      <c r="L58" s="2">
        <v>591000000</v>
      </c>
      <c r="M58" s="2">
        <v>264000000</v>
      </c>
      <c r="N58" s="2">
        <v>273000000</v>
      </c>
    </row>
    <row r="59" spans="1:14" x14ac:dyDescent="0.25">
      <c r="A59">
        <v>236</v>
      </c>
      <c r="B59" t="s">
        <v>26</v>
      </c>
      <c r="C59" t="s">
        <v>1</v>
      </c>
      <c r="D59" t="s">
        <v>9</v>
      </c>
      <c r="E59" t="s">
        <v>12</v>
      </c>
      <c r="F59" t="s">
        <v>4</v>
      </c>
      <c r="G59" s="1">
        <v>46120</v>
      </c>
      <c r="H59" t="s">
        <v>5</v>
      </c>
      <c r="I59" t="s">
        <v>89</v>
      </c>
      <c r="J59" s="2">
        <v>7214096000000</v>
      </c>
      <c r="K59" s="2">
        <v>6242213000000</v>
      </c>
      <c r="L59" s="2">
        <v>677000000</v>
      </c>
      <c r="M59" s="2">
        <v>228000000</v>
      </c>
      <c r="N59" t="s">
        <v>90</v>
      </c>
    </row>
    <row r="60" spans="1:14" x14ac:dyDescent="0.25">
      <c r="A60">
        <v>235</v>
      </c>
      <c r="B60" t="s">
        <v>7</v>
      </c>
      <c r="C60" t="s">
        <v>22</v>
      </c>
      <c r="D60" t="s">
        <v>2</v>
      </c>
      <c r="E60" t="s">
        <v>3</v>
      </c>
      <c r="F60" t="s">
        <v>4</v>
      </c>
      <c r="G60" s="1">
        <v>46120</v>
      </c>
      <c r="H60" t="s">
        <v>5</v>
      </c>
      <c r="I60" t="s">
        <v>91</v>
      </c>
      <c r="J60" s="2">
        <v>224638000000</v>
      </c>
      <c r="K60" s="2">
        <v>194375000000</v>
      </c>
      <c r="L60" s="2">
        <v>935000000</v>
      </c>
      <c r="M60" s="2">
        <v>129000000</v>
      </c>
      <c r="N60" t="s">
        <v>92</v>
      </c>
    </row>
    <row r="61" spans="1:14" x14ac:dyDescent="0.25">
      <c r="A61">
        <v>234</v>
      </c>
      <c r="B61" t="s">
        <v>7</v>
      </c>
      <c r="C61" t="s">
        <v>8</v>
      </c>
      <c r="D61" t="s">
        <v>9</v>
      </c>
      <c r="E61" t="s">
        <v>3</v>
      </c>
      <c r="F61" t="s">
        <v>4</v>
      </c>
      <c r="G61" s="1">
        <v>46120</v>
      </c>
      <c r="H61" t="s">
        <v>5</v>
      </c>
      <c r="I61" t="s">
        <v>93</v>
      </c>
      <c r="J61" s="2">
        <v>7208281000000</v>
      </c>
      <c r="K61" s="2">
        <v>6237182000000</v>
      </c>
      <c r="L61" s="2">
        <v>966000000</v>
      </c>
      <c r="M61" s="2">
        <v>383000000</v>
      </c>
      <c r="N61" s="2">
        <v>108000000</v>
      </c>
    </row>
    <row r="62" spans="1:14" x14ac:dyDescent="0.25">
      <c r="A62">
        <v>233</v>
      </c>
      <c r="B62" t="s">
        <v>26</v>
      </c>
      <c r="C62" t="s">
        <v>1</v>
      </c>
      <c r="D62" t="s">
        <v>2</v>
      </c>
      <c r="E62" t="s">
        <v>12</v>
      </c>
      <c r="F62" t="s">
        <v>4</v>
      </c>
      <c r="G62" s="1">
        <v>46120</v>
      </c>
      <c r="H62" t="s">
        <v>5</v>
      </c>
      <c r="I62" t="s">
        <v>94</v>
      </c>
      <c r="J62" s="2">
        <v>226385000000</v>
      </c>
      <c r="K62" s="2">
        <v>195887000000</v>
      </c>
      <c r="L62" s="2">
        <v>678000000</v>
      </c>
      <c r="M62" s="2">
        <v>465000000</v>
      </c>
      <c r="N62" s="2">
        <v>128000000</v>
      </c>
    </row>
    <row r="63" spans="1:14" x14ac:dyDescent="0.25">
      <c r="A63">
        <v>232</v>
      </c>
      <c r="B63" t="s">
        <v>18</v>
      </c>
      <c r="C63" t="s">
        <v>22</v>
      </c>
      <c r="D63" t="s">
        <v>9</v>
      </c>
      <c r="E63" t="s">
        <v>3</v>
      </c>
      <c r="F63" t="s">
        <v>4</v>
      </c>
      <c r="G63" s="1">
        <v>46120</v>
      </c>
      <c r="H63" t="s">
        <v>5</v>
      </c>
      <c r="I63" t="s">
        <v>28</v>
      </c>
      <c r="J63" s="2">
        <v>7224877000000</v>
      </c>
      <c r="K63" s="2">
        <v>6251542000000</v>
      </c>
      <c r="L63" s="2">
        <v>476000000</v>
      </c>
      <c r="M63" s="2">
        <v>393000000</v>
      </c>
      <c r="N63" s="2">
        <v>115000000</v>
      </c>
    </row>
    <row r="64" spans="1:14" x14ac:dyDescent="0.25">
      <c r="A64">
        <v>231</v>
      </c>
      <c r="B64" t="s">
        <v>18</v>
      </c>
      <c r="C64" t="s">
        <v>8</v>
      </c>
      <c r="D64" t="s">
        <v>2</v>
      </c>
      <c r="E64" t="s">
        <v>3</v>
      </c>
      <c r="F64" t="s">
        <v>4</v>
      </c>
      <c r="G64" s="1">
        <v>46120</v>
      </c>
      <c r="H64" t="s">
        <v>5</v>
      </c>
      <c r="I64" t="s">
        <v>95</v>
      </c>
      <c r="J64" s="2">
        <v>227128000000</v>
      </c>
      <c r="K64" s="2">
        <v>196529000000</v>
      </c>
      <c r="L64" s="2">
        <v>831000000</v>
      </c>
      <c r="M64" s="2">
        <v>212000000</v>
      </c>
      <c r="N64" s="2">
        <v>139000000</v>
      </c>
    </row>
    <row r="65" spans="1:14" x14ac:dyDescent="0.25">
      <c r="A65">
        <v>230</v>
      </c>
      <c r="B65" t="s">
        <v>18</v>
      </c>
      <c r="C65" t="s">
        <v>1</v>
      </c>
      <c r="D65" t="s">
        <v>9</v>
      </c>
      <c r="E65" t="s">
        <v>12</v>
      </c>
      <c r="F65" t="s">
        <v>4</v>
      </c>
      <c r="G65" s="1">
        <v>46120</v>
      </c>
      <c r="H65" t="s">
        <v>5</v>
      </c>
      <c r="I65" t="s">
        <v>96</v>
      </c>
      <c r="J65" s="2">
        <v>7205932000000</v>
      </c>
      <c r="K65" s="2">
        <v>6235149000000</v>
      </c>
      <c r="L65" s="2">
        <v>916000000</v>
      </c>
      <c r="M65" s="2">
        <v>243000000</v>
      </c>
      <c r="N65" t="s">
        <v>97</v>
      </c>
    </row>
    <row r="66" spans="1:14" x14ac:dyDescent="0.25">
      <c r="A66">
        <v>229</v>
      </c>
      <c r="B66" t="s">
        <v>26</v>
      </c>
      <c r="C66" t="s">
        <v>22</v>
      </c>
      <c r="D66" t="s">
        <v>2</v>
      </c>
      <c r="E66" t="s">
        <v>12</v>
      </c>
      <c r="F66" t="s">
        <v>4</v>
      </c>
      <c r="G66" s="1">
        <v>46120</v>
      </c>
      <c r="H66" t="s">
        <v>5</v>
      </c>
      <c r="I66" t="s">
        <v>98</v>
      </c>
      <c r="J66" s="2">
        <v>226347000000</v>
      </c>
      <c r="K66" s="2">
        <v>195854000000</v>
      </c>
      <c r="L66" s="2">
        <v>446000000</v>
      </c>
      <c r="M66" s="2">
        <v>142000000</v>
      </c>
      <c r="N66" s="2">
        <v>278000000</v>
      </c>
    </row>
    <row r="67" spans="1:14" x14ac:dyDescent="0.25">
      <c r="A67">
        <v>228</v>
      </c>
      <c r="B67" t="s">
        <v>7</v>
      </c>
      <c r="C67" t="s">
        <v>1</v>
      </c>
      <c r="D67" t="s">
        <v>9</v>
      </c>
      <c r="E67" t="s">
        <v>12</v>
      </c>
      <c r="F67" t="s">
        <v>4</v>
      </c>
      <c r="G67" s="1">
        <v>46120</v>
      </c>
      <c r="H67" t="s">
        <v>5</v>
      </c>
      <c r="I67" t="s">
        <v>99</v>
      </c>
      <c r="J67" s="2">
        <v>7169002000000</v>
      </c>
      <c r="K67" s="2">
        <v>6203194000000</v>
      </c>
      <c r="L67" s="2">
        <v>410000000</v>
      </c>
      <c r="M67" s="2">
        <v>369000000</v>
      </c>
      <c r="N67" s="2">
        <v>196000000</v>
      </c>
    </row>
    <row r="68" spans="1:14" x14ac:dyDescent="0.25">
      <c r="A68">
        <v>227</v>
      </c>
      <c r="B68" t="s">
        <v>15</v>
      </c>
      <c r="C68" t="s">
        <v>1</v>
      </c>
      <c r="D68" t="s">
        <v>2</v>
      </c>
      <c r="E68" t="s">
        <v>12</v>
      </c>
      <c r="F68" t="s">
        <v>4</v>
      </c>
      <c r="G68" s="1">
        <v>46120</v>
      </c>
      <c r="H68" t="s">
        <v>5</v>
      </c>
      <c r="I68" t="s">
        <v>100</v>
      </c>
      <c r="J68" s="2">
        <v>226243000000</v>
      </c>
      <c r="K68" s="2">
        <v>195763000000</v>
      </c>
      <c r="L68" s="2">
        <v>955000000</v>
      </c>
      <c r="M68" s="2">
        <v>399000000</v>
      </c>
      <c r="N68" t="s">
        <v>101</v>
      </c>
    </row>
    <row r="69" spans="1:14" x14ac:dyDescent="0.25">
      <c r="A69">
        <v>226</v>
      </c>
      <c r="B69" t="s">
        <v>11</v>
      </c>
      <c r="C69" t="s">
        <v>1</v>
      </c>
      <c r="D69" t="s">
        <v>9</v>
      </c>
      <c r="E69" t="s">
        <v>12</v>
      </c>
      <c r="F69" t="s">
        <v>4</v>
      </c>
      <c r="G69" s="1">
        <v>46120</v>
      </c>
      <c r="H69" t="s">
        <v>5</v>
      </c>
      <c r="I69" t="s">
        <v>102</v>
      </c>
      <c r="J69" s="2">
        <v>7222011000000</v>
      </c>
      <c r="K69" s="2">
        <v>6249062000000</v>
      </c>
      <c r="L69" s="2">
        <v>408000000</v>
      </c>
      <c r="M69" s="2">
        <v>282000000</v>
      </c>
      <c r="N69" s="2">
        <v>111000000</v>
      </c>
    </row>
    <row r="70" spans="1:14" x14ac:dyDescent="0.25">
      <c r="A70">
        <v>225</v>
      </c>
      <c r="B70" t="s">
        <v>15</v>
      </c>
      <c r="C70" t="s">
        <v>8</v>
      </c>
      <c r="D70" t="s">
        <v>2</v>
      </c>
      <c r="E70" t="s">
        <v>12</v>
      </c>
      <c r="F70" t="s">
        <v>4</v>
      </c>
      <c r="G70" s="1">
        <v>46120</v>
      </c>
      <c r="H70" t="s">
        <v>5</v>
      </c>
      <c r="I70" t="s">
        <v>103</v>
      </c>
      <c r="J70" s="2">
        <v>226191000000</v>
      </c>
      <c r="K70" s="2">
        <v>195719000000</v>
      </c>
      <c r="L70" s="2">
        <v>510000000</v>
      </c>
      <c r="M70" s="2">
        <v>213000000</v>
      </c>
      <c r="N70" s="2">
        <v>264000000</v>
      </c>
    </row>
    <row r="71" spans="1:14" x14ac:dyDescent="0.25">
      <c r="A71">
        <v>224</v>
      </c>
      <c r="B71" t="s">
        <v>7</v>
      </c>
      <c r="C71" t="s">
        <v>22</v>
      </c>
      <c r="D71" t="s">
        <v>9</v>
      </c>
      <c r="E71" t="s">
        <v>3</v>
      </c>
      <c r="F71" t="s">
        <v>4</v>
      </c>
      <c r="G71" s="1">
        <v>46120</v>
      </c>
      <c r="H71" t="s">
        <v>5</v>
      </c>
      <c r="I71" t="s">
        <v>104</v>
      </c>
      <c r="J71" s="2">
        <v>7171353000000</v>
      </c>
      <c r="K71" s="2">
        <v>6205229000000</v>
      </c>
      <c r="L71" s="2">
        <v>218000000</v>
      </c>
      <c r="M71" s="2">
        <v>430000000</v>
      </c>
      <c r="N71" s="2">
        <v>290000000</v>
      </c>
    </row>
    <row r="72" spans="1:14" x14ac:dyDescent="0.25">
      <c r="A72">
        <v>223</v>
      </c>
      <c r="B72" t="s">
        <v>11</v>
      </c>
      <c r="C72" t="s">
        <v>8</v>
      </c>
      <c r="D72" t="s">
        <v>9</v>
      </c>
      <c r="E72" t="s">
        <v>12</v>
      </c>
      <c r="F72" t="s">
        <v>4</v>
      </c>
      <c r="G72" s="1">
        <v>46118</v>
      </c>
      <c r="H72" t="s">
        <v>5</v>
      </c>
      <c r="I72" t="s">
        <v>105</v>
      </c>
      <c r="J72" s="2">
        <v>7022925000000</v>
      </c>
      <c r="K72" s="2">
        <v>6093651000000</v>
      </c>
      <c r="L72" s="2">
        <v>629000000</v>
      </c>
      <c r="M72" s="2">
        <v>241000000</v>
      </c>
      <c r="N72" t="s">
        <v>55</v>
      </c>
    </row>
    <row r="73" spans="1:14" x14ac:dyDescent="0.25">
      <c r="A73">
        <v>222</v>
      </c>
      <c r="B73" t="s">
        <v>0</v>
      </c>
      <c r="C73" t="s">
        <v>22</v>
      </c>
      <c r="D73" t="s">
        <v>2</v>
      </c>
      <c r="E73" t="s">
        <v>3</v>
      </c>
      <c r="F73" t="s">
        <v>4</v>
      </c>
      <c r="G73" s="1">
        <v>46118</v>
      </c>
      <c r="H73" t="s">
        <v>5</v>
      </c>
      <c r="I73" t="s">
        <v>106</v>
      </c>
      <c r="J73" s="2">
        <v>217553000000</v>
      </c>
      <c r="K73" s="2">
        <v>188766000000</v>
      </c>
      <c r="L73" s="2">
        <v>536000000</v>
      </c>
      <c r="M73" s="2">
        <v>170000000</v>
      </c>
      <c r="N73" s="2">
        <v>262000000</v>
      </c>
    </row>
    <row r="74" spans="1:14" x14ac:dyDescent="0.25">
      <c r="A74">
        <v>221</v>
      </c>
      <c r="B74" t="s">
        <v>26</v>
      </c>
      <c r="C74" t="s">
        <v>1</v>
      </c>
      <c r="D74" t="s">
        <v>9</v>
      </c>
      <c r="E74" t="s">
        <v>3</v>
      </c>
      <c r="F74" t="s">
        <v>4</v>
      </c>
      <c r="G74" s="1">
        <v>46118</v>
      </c>
      <c r="H74" t="s">
        <v>5</v>
      </c>
      <c r="I74" t="s">
        <v>107</v>
      </c>
      <c r="J74" s="2">
        <v>7005787000000</v>
      </c>
      <c r="K74" s="2">
        <v>6078782000000</v>
      </c>
      <c r="L74" s="2">
        <v>949000000</v>
      </c>
      <c r="M74" s="2">
        <v>448000000</v>
      </c>
      <c r="N74" s="2">
        <v>151000000</v>
      </c>
    </row>
    <row r="75" spans="1:14" x14ac:dyDescent="0.25">
      <c r="A75">
        <v>220</v>
      </c>
      <c r="B75" t="s">
        <v>11</v>
      </c>
      <c r="C75" t="s">
        <v>22</v>
      </c>
      <c r="D75" t="s">
        <v>9</v>
      </c>
      <c r="E75" t="s">
        <v>3</v>
      </c>
      <c r="F75" t="s">
        <v>4</v>
      </c>
      <c r="G75" s="1">
        <v>46118</v>
      </c>
      <c r="H75" t="s">
        <v>5</v>
      </c>
      <c r="I75" t="s">
        <v>108</v>
      </c>
      <c r="J75" s="2">
        <v>7067393000000</v>
      </c>
      <c r="K75" s="2">
        <v>6132236000000</v>
      </c>
      <c r="L75" s="2">
        <v>506000000</v>
      </c>
      <c r="M75" s="2">
        <v>444000000</v>
      </c>
      <c r="N75" s="2">
        <v>127000000</v>
      </c>
    </row>
    <row r="76" spans="1:14" x14ac:dyDescent="0.25">
      <c r="A76">
        <v>219</v>
      </c>
      <c r="B76" t="s">
        <v>15</v>
      </c>
      <c r="C76" t="s">
        <v>1</v>
      </c>
      <c r="D76" t="s">
        <v>2</v>
      </c>
      <c r="E76" t="s">
        <v>12</v>
      </c>
      <c r="F76" t="s">
        <v>4</v>
      </c>
      <c r="G76" s="1">
        <v>46118</v>
      </c>
      <c r="H76" t="s">
        <v>5</v>
      </c>
      <c r="I76" t="s">
        <v>109</v>
      </c>
      <c r="J76" s="2">
        <v>217032000000</v>
      </c>
      <c r="K76" s="2">
        <v>188314000000</v>
      </c>
      <c r="L76" s="2">
        <v>233000000</v>
      </c>
      <c r="M76" s="2">
        <v>108000000</v>
      </c>
      <c r="N76" t="s">
        <v>64</v>
      </c>
    </row>
    <row r="77" spans="1:14" x14ac:dyDescent="0.25">
      <c r="A77">
        <v>218</v>
      </c>
      <c r="B77" t="s">
        <v>15</v>
      </c>
      <c r="C77" t="s">
        <v>1</v>
      </c>
      <c r="D77" t="s">
        <v>9</v>
      </c>
      <c r="E77" t="s">
        <v>3</v>
      </c>
      <c r="F77" t="s">
        <v>4</v>
      </c>
      <c r="G77" s="1">
        <v>46118</v>
      </c>
      <c r="H77" t="s">
        <v>5</v>
      </c>
      <c r="I77" t="s">
        <v>110</v>
      </c>
      <c r="J77" s="2">
        <v>7055141000000</v>
      </c>
      <c r="K77" s="2">
        <v>6121605000000</v>
      </c>
      <c r="L77" s="2">
        <v>207000000</v>
      </c>
      <c r="M77" s="2">
        <v>307000000</v>
      </c>
      <c r="N77" s="2">
        <v>235000000</v>
      </c>
    </row>
    <row r="78" spans="1:14" x14ac:dyDescent="0.25">
      <c r="A78">
        <v>217</v>
      </c>
      <c r="B78" t="s">
        <v>26</v>
      </c>
      <c r="C78" t="s">
        <v>1</v>
      </c>
      <c r="D78" t="s">
        <v>9</v>
      </c>
      <c r="E78" t="s">
        <v>3</v>
      </c>
      <c r="F78" t="s">
        <v>4</v>
      </c>
      <c r="G78" s="1">
        <v>46118</v>
      </c>
      <c r="H78" t="s">
        <v>5</v>
      </c>
      <c r="I78" t="s">
        <v>65</v>
      </c>
      <c r="J78" s="2">
        <v>7021014000000</v>
      </c>
      <c r="K78" s="2">
        <v>6091993000000</v>
      </c>
      <c r="L78" s="2">
        <v>468000000</v>
      </c>
      <c r="M78" s="2">
        <v>130000000</v>
      </c>
      <c r="N78" s="2">
        <v>236000000</v>
      </c>
    </row>
    <row r="79" spans="1:14" x14ac:dyDescent="0.25">
      <c r="A79">
        <v>216</v>
      </c>
      <c r="B79" t="s">
        <v>18</v>
      </c>
      <c r="C79" t="s">
        <v>1</v>
      </c>
      <c r="D79" t="s">
        <v>9</v>
      </c>
      <c r="E79" t="s">
        <v>12</v>
      </c>
      <c r="F79" t="s">
        <v>4</v>
      </c>
      <c r="G79" s="1">
        <v>46118</v>
      </c>
      <c r="H79" t="s">
        <v>5</v>
      </c>
      <c r="I79" t="s">
        <v>111</v>
      </c>
      <c r="J79" s="2">
        <v>7046567000000</v>
      </c>
      <c r="K79" s="2">
        <v>6114166000000</v>
      </c>
      <c r="L79" s="2">
        <v>745000000</v>
      </c>
      <c r="M79" s="2">
        <v>467000000</v>
      </c>
      <c r="N79" t="s">
        <v>112</v>
      </c>
    </row>
    <row r="80" spans="1:14" x14ac:dyDescent="0.25">
      <c r="A80">
        <v>215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s="1">
        <v>46118</v>
      </c>
      <c r="H80" t="s">
        <v>5</v>
      </c>
      <c r="I80" t="s">
        <v>113</v>
      </c>
      <c r="J80" s="2">
        <v>218364000000</v>
      </c>
      <c r="K80" s="2">
        <v>189470000000</v>
      </c>
      <c r="L80" s="2">
        <v>673000000</v>
      </c>
      <c r="M80" s="2">
        <v>150000000</v>
      </c>
      <c r="N80" s="2">
        <v>275000000</v>
      </c>
    </row>
    <row r="81" spans="1:14" x14ac:dyDescent="0.25">
      <c r="A81">
        <v>214</v>
      </c>
      <c r="B81" t="s">
        <v>26</v>
      </c>
      <c r="C81" t="s">
        <v>8</v>
      </c>
      <c r="D81" t="s">
        <v>2</v>
      </c>
      <c r="E81" t="s">
        <v>12</v>
      </c>
      <c r="F81" t="s">
        <v>4</v>
      </c>
      <c r="G81" s="1">
        <v>46118</v>
      </c>
      <c r="H81" t="s">
        <v>5</v>
      </c>
      <c r="I81" t="s">
        <v>114</v>
      </c>
      <c r="J81" s="2">
        <v>217336000000</v>
      </c>
      <c r="K81" s="2">
        <v>188578000000</v>
      </c>
      <c r="L81" s="2">
        <v>327000000</v>
      </c>
      <c r="M81" s="2">
        <v>282000000</v>
      </c>
      <c r="N81" s="2">
        <v>150000000</v>
      </c>
    </row>
    <row r="82" spans="1:14" x14ac:dyDescent="0.25">
      <c r="A82">
        <v>213</v>
      </c>
      <c r="B82" t="s">
        <v>11</v>
      </c>
      <c r="C82" t="s">
        <v>1</v>
      </c>
      <c r="D82" t="s">
        <v>2</v>
      </c>
      <c r="E82" t="s">
        <v>12</v>
      </c>
      <c r="F82" t="s">
        <v>4</v>
      </c>
      <c r="G82" s="1">
        <v>46118</v>
      </c>
      <c r="H82" t="s">
        <v>5</v>
      </c>
      <c r="I82" t="s">
        <v>115</v>
      </c>
      <c r="J82" s="2">
        <v>218584000000</v>
      </c>
      <c r="K82" s="2">
        <v>189661000000</v>
      </c>
      <c r="L82" s="2">
        <v>673000000</v>
      </c>
      <c r="M82" s="2">
        <v>313000000</v>
      </c>
      <c r="N82" t="s">
        <v>116</v>
      </c>
    </row>
    <row r="83" spans="1:14" x14ac:dyDescent="0.25">
      <c r="A83">
        <v>212</v>
      </c>
      <c r="B83" t="s">
        <v>26</v>
      </c>
      <c r="C83" t="s">
        <v>8</v>
      </c>
      <c r="D83" t="s">
        <v>9</v>
      </c>
      <c r="E83" t="s">
        <v>3</v>
      </c>
      <c r="F83" t="s">
        <v>4</v>
      </c>
      <c r="G83" s="1">
        <v>46118</v>
      </c>
      <c r="H83" t="s">
        <v>5</v>
      </c>
      <c r="I83" t="s">
        <v>117</v>
      </c>
      <c r="J83" s="2">
        <v>7024767000000</v>
      </c>
      <c r="K83" s="2">
        <v>6095250000000</v>
      </c>
      <c r="L83" s="2">
        <v>683000000</v>
      </c>
      <c r="M83" s="2">
        <v>413000000</v>
      </c>
      <c r="N83" s="2">
        <v>230000000</v>
      </c>
    </row>
    <row r="84" spans="1:14" x14ac:dyDescent="0.25">
      <c r="A84">
        <v>211</v>
      </c>
      <c r="B84" t="s">
        <v>0</v>
      </c>
      <c r="C84" t="s">
        <v>1</v>
      </c>
      <c r="D84" t="s">
        <v>9</v>
      </c>
      <c r="E84" t="s">
        <v>12</v>
      </c>
      <c r="F84" t="s">
        <v>4</v>
      </c>
      <c r="G84" s="1">
        <v>46116</v>
      </c>
      <c r="H84" t="s">
        <v>36</v>
      </c>
      <c r="I84" t="s">
        <v>118</v>
      </c>
      <c r="J84" s="2">
        <v>6684078000000</v>
      </c>
      <c r="K84" s="2">
        <v>5799641000000</v>
      </c>
      <c r="L84" s="2">
        <v>681000000</v>
      </c>
      <c r="M84" s="2">
        <v>104000000</v>
      </c>
      <c r="N84" s="2">
        <v>101000000</v>
      </c>
    </row>
    <row r="85" spans="1:14" x14ac:dyDescent="0.25">
      <c r="A85">
        <v>210</v>
      </c>
      <c r="B85" t="s">
        <v>15</v>
      </c>
      <c r="C85" t="s">
        <v>8</v>
      </c>
      <c r="D85" t="s">
        <v>2</v>
      </c>
      <c r="E85" t="s">
        <v>3</v>
      </c>
      <c r="F85" t="s">
        <v>4</v>
      </c>
      <c r="G85" s="1">
        <v>46113</v>
      </c>
      <c r="H85" t="s">
        <v>5</v>
      </c>
      <c r="I85" t="s">
        <v>119</v>
      </c>
      <c r="J85" s="2">
        <v>210975000000</v>
      </c>
      <c r="K85" s="2">
        <v>181797000000</v>
      </c>
      <c r="L85" s="2">
        <v>501000000</v>
      </c>
      <c r="M85" s="2">
        <v>185000000</v>
      </c>
      <c r="N85" s="2">
        <v>177000000</v>
      </c>
    </row>
    <row r="86" spans="1:14" x14ac:dyDescent="0.25">
      <c r="A86">
        <v>209</v>
      </c>
      <c r="B86" t="s">
        <v>7</v>
      </c>
      <c r="C86" t="s">
        <v>22</v>
      </c>
      <c r="D86" t="s">
        <v>9</v>
      </c>
      <c r="E86" t="s">
        <v>3</v>
      </c>
      <c r="F86" t="s">
        <v>4</v>
      </c>
      <c r="G86" s="1">
        <v>46112</v>
      </c>
      <c r="H86" t="s">
        <v>5</v>
      </c>
      <c r="I86" t="s">
        <v>104</v>
      </c>
      <c r="J86" s="2">
        <v>6715814000000</v>
      </c>
      <c r="K86" s="2">
        <v>5840878000000</v>
      </c>
      <c r="L86" s="2">
        <v>323000000</v>
      </c>
      <c r="M86" s="2">
        <v>229000000</v>
      </c>
      <c r="N86" t="s">
        <v>120</v>
      </c>
    </row>
    <row r="87" spans="1:14" x14ac:dyDescent="0.25">
      <c r="A87">
        <v>208</v>
      </c>
      <c r="B87" t="s">
        <v>18</v>
      </c>
      <c r="C87" t="s">
        <v>1</v>
      </c>
      <c r="D87" t="s">
        <v>2</v>
      </c>
      <c r="E87" t="s">
        <v>3</v>
      </c>
      <c r="F87" t="s">
        <v>4</v>
      </c>
      <c r="G87" s="1">
        <v>46111</v>
      </c>
      <c r="H87" t="s">
        <v>36</v>
      </c>
      <c r="I87" t="s">
        <v>121</v>
      </c>
      <c r="J87" s="2">
        <v>196657000000</v>
      </c>
      <c r="K87" s="2">
        <v>171245000000</v>
      </c>
      <c r="L87" s="2">
        <v>904000000</v>
      </c>
      <c r="M87" s="2">
        <v>488000000</v>
      </c>
      <c r="N87" t="s">
        <v>32</v>
      </c>
    </row>
    <row r="88" spans="1:14" x14ac:dyDescent="0.25">
      <c r="A88">
        <v>207</v>
      </c>
      <c r="B88" t="s">
        <v>7</v>
      </c>
      <c r="C88" t="s">
        <v>22</v>
      </c>
      <c r="D88" t="s">
        <v>9</v>
      </c>
      <c r="E88" t="s">
        <v>12</v>
      </c>
      <c r="F88" t="s">
        <v>4</v>
      </c>
      <c r="G88" s="1">
        <v>46111</v>
      </c>
      <c r="H88" t="s">
        <v>36</v>
      </c>
      <c r="I88" t="s">
        <v>122</v>
      </c>
      <c r="J88" s="2">
        <v>6540116000000</v>
      </c>
      <c r="K88" s="2">
        <v>5695002000000</v>
      </c>
      <c r="L88" s="2">
        <v>890000000</v>
      </c>
      <c r="M88" s="2">
        <v>139000000</v>
      </c>
      <c r="N88" t="s">
        <v>101</v>
      </c>
    </row>
    <row r="89" spans="1:14" x14ac:dyDescent="0.25">
      <c r="A89">
        <v>206</v>
      </c>
      <c r="B89" t="s">
        <v>26</v>
      </c>
      <c r="C89" t="s">
        <v>1</v>
      </c>
      <c r="D89" t="s">
        <v>9</v>
      </c>
      <c r="E89" t="s">
        <v>12</v>
      </c>
      <c r="F89" t="s">
        <v>4</v>
      </c>
      <c r="G89" s="1">
        <v>46109</v>
      </c>
      <c r="H89" t="s">
        <v>36</v>
      </c>
      <c r="I89" t="s">
        <v>123</v>
      </c>
      <c r="J89" s="2">
        <v>6603572000000</v>
      </c>
      <c r="K89" s="2">
        <v>5733749000000</v>
      </c>
      <c r="L89" s="2">
        <v>305000000</v>
      </c>
      <c r="M89" s="2">
        <v>309000000</v>
      </c>
      <c r="N89" s="2">
        <v>223000000</v>
      </c>
    </row>
    <row r="90" spans="1:14" x14ac:dyDescent="0.25">
      <c r="A90">
        <v>205</v>
      </c>
      <c r="B90" t="s">
        <v>7</v>
      </c>
      <c r="C90" t="s">
        <v>1</v>
      </c>
      <c r="D90" t="s">
        <v>9</v>
      </c>
      <c r="E90" t="s">
        <v>3</v>
      </c>
      <c r="F90" t="s">
        <v>4</v>
      </c>
      <c r="G90" s="1">
        <v>46103</v>
      </c>
      <c r="H90" t="s">
        <v>5</v>
      </c>
      <c r="I90" t="s">
        <v>59</v>
      </c>
      <c r="J90" s="2">
        <v>6914683000000</v>
      </c>
      <c r="K90" s="2">
        <v>5984174000000</v>
      </c>
      <c r="L90" s="2">
        <v>382000000</v>
      </c>
      <c r="M90" s="2">
        <v>352000000</v>
      </c>
      <c r="N90" s="2">
        <v>201000000</v>
      </c>
    </row>
    <row r="91" spans="1:14" x14ac:dyDescent="0.25">
      <c r="A91">
        <v>204</v>
      </c>
      <c r="B91" t="s">
        <v>7</v>
      </c>
      <c r="C91" t="s">
        <v>8</v>
      </c>
      <c r="D91" t="s">
        <v>9</v>
      </c>
      <c r="E91" t="s">
        <v>3</v>
      </c>
      <c r="F91" t="s">
        <v>4</v>
      </c>
      <c r="G91" s="1">
        <v>46102</v>
      </c>
      <c r="H91" t="s">
        <v>36</v>
      </c>
      <c r="I91" t="s">
        <v>124</v>
      </c>
      <c r="J91" s="2">
        <v>7044809000000</v>
      </c>
      <c r="K91" s="2">
        <v>6096789000000</v>
      </c>
      <c r="L91" s="2">
        <v>932000000</v>
      </c>
      <c r="M91" s="2">
        <v>115000000</v>
      </c>
      <c r="N91" t="s">
        <v>125</v>
      </c>
    </row>
    <row r="92" spans="1:14" x14ac:dyDescent="0.25">
      <c r="A92">
        <v>203</v>
      </c>
      <c r="B92" t="s">
        <v>26</v>
      </c>
      <c r="C92" t="s">
        <v>1</v>
      </c>
      <c r="D92" t="s">
        <v>2</v>
      </c>
      <c r="E92" t="s">
        <v>3</v>
      </c>
      <c r="F92" t="s">
        <v>4</v>
      </c>
      <c r="G92" s="1">
        <v>46097</v>
      </c>
      <c r="H92" t="s">
        <v>36</v>
      </c>
      <c r="I92" t="s">
        <v>126</v>
      </c>
      <c r="J92" s="2">
        <v>216698000000</v>
      </c>
      <c r="K92" s="2">
        <v>188794000000</v>
      </c>
      <c r="L92" s="2">
        <v>617000000</v>
      </c>
      <c r="M92" s="2">
        <v>395000000</v>
      </c>
      <c r="N92" s="2">
        <v>205000000</v>
      </c>
    </row>
    <row r="93" spans="1:14" x14ac:dyDescent="0.25">
      <c r="A93">
        <v>202</v>
      </c>
      <c r="B93" t="s">
        <v>15</v>
      </c>
      <c r="C93" t="s">
        <v>1</v>
      </c>
      <c r="D93" t="s">
        <v>9</v>
      </c>
      <c r="E93" t="s">
        <v>12</v>
      </c>
      <c r="F93" t="s">
        <v>4</v>
      </c>
      <c r="G93" s="1">
        <v>46094</v>
      </c>
      <c r="H93" t="s">
        <v>36</v>
      </c>
      <c r="I93" t="s">
        <v>127</v>
      </c>
      <c r="J93" s="2">
        <v>7015434000000</v>
      </c>
      <c r="K93" s="2">
        <v>6113108000000</v>
      </c>
      <c r="L93" s="2">
        <v>238000000</v>
      </c>
      <c r="M93" s="2">
        <v>233000000</v>
      </c>
      <c r="N93" t="s">
        <v>49</v>
      </c>
    </row>
    <row r="94" spans="1:14" x14ac:dyDescent="0.25">
      <c r="A94">
        <v>201</v>
      </c>
      <c r="B94" t="s">
        <v>11</v>
      </c>
      <c r="C94" t="s">
        <v>1</v>
      </c>
      <c r="D94" t="s">
        <v>9</v>
      </c>
      <c r="E94" t="s">
        <v>3</v>
      </c>
      <c r="F94" t="s">
        <v>4</v>
      </c>
      <c r="G94" s="1">
        <v>46092</v>
      </c>
      <c r="H94" t="s">
        <v>5</v>
      </c>
      <c r="I94" t="s">
        <v>128</v>
      </c>
      <c r="J94" s="2">
        <v>7037453000000</v>
      </c>
      <c r="K94" s="2">
        <v>6076700000000</v>
      </c>
      <c r="L94" s="2">
        <v>442000000</v>
      </c>
      <c r="M94" s="2">
        <v>292000000</v>
      </c>
      <c r="N94" t="s">
        <v>129</v>
      </c>
    </row>
    <row r="95" spans="1:14" x14ac:dyDescent="0.25">
      <c r="A95">
        <v>200</v>
      </c>
      <c r="B95" t="s">
        <v>0</v>
      </c>
      <c r="C95" t="s">
        <v>8</v>
      </c>
      <c r="D95" t="s">
        <v>2</v>
      </c>
      <c r="E95" t="s">
        <v>3</v>
      </c>
      <c r="F95" t="s">
        <v>4</v>
      </c>
      <c r="G95" s="1">
        <v>46091</v>
      </c>
      <c r="H95" t="s">
        <v>5</v>
      </c>
      <c r="I95" t="s">
        <v>130</v>
      </c>
      <c r="J95" s="2">
        <v>199899000000</v>
      </c>
      <c r="K95" s="2">
        <v>171719000000</v>
      </c>
      <c r="L95" s="2">
        <v>820000000</v>
      </c>
      <c r="M95" s="2">
        <v>309000000</v>
      </c>
      <c r="N95" t="s">
        <v>131</v>
      </c>
    </row>
    <row r="96" spans="1:14" x14ac:dyDescent="0.25">
      <c r="A96">
        <v>199</v>
      </c>
      <c r="B96" t="s">
        <v>0</v>
      </c>
      <c r="C96" t="s">
        <v>22</v>
      </c>
      <c r="D96" t="s">
        <v>9</v>
      </c>
      <c r="E96" t="s">
        <v>12</v>
      </c>
      <c r="F96" t="s">
        <v>4</v>
      </c>
      <c r="G96" s="1">
        <v>46090</v>
      </c>
      <c r="H96" t="s">
        <v>36</v>
      </c>
      <c r="I96" t="s">
        <v>132</v>
      </c>
      <c r="J96" s="2">
        <v>6563302000000</v>
      </c>
      <c r="K96" s="2">
        <v>5680078000000</v>
      </c>
      <c r="L96" s="2">
        <v>392000000</v>
      </c>
      <c r="M96" s="2">
        <v>471000000</v>
      </c>
      <c r="N96" s="2">
        <v>221000000</v>
      </c>
    </row>
    <row r="97" spans="1:14" x14ac:dyDescent="0.25">
      <c r="A97">
        <v>198</v>
      </c>
      <c r="B97" t="s">
        <v>0</v>
      </c>
      <c r="C97" t="s">
        <v>22</v>
      </c>
      <c r="D97" t="s">
        <v>9</v>
      </c>
      <c r="E97" t="s">
        <v>3</v>
      </c>
      <c r="F97" t="s">
        <v>4</v>
      </c>
      <c r="G97" s="1">
        <v>46089</v>
      </c>
      <c r="H97" t="s">
        <v>5</v>
      </c>
      <c r="I97" t="s">
        <v>133</v>
      </c>
      <c r="J97" s="2">
        <v>6785411000000</v>
      </c>
      <c r="K97" s="2">
        <v>5869245000000</v>
      </c>
      <c r="L97" s="2">
        <v>358000000</v>
      </c>
      <c r="M97" s="2">
        <v>328000000</v>
      </c>
      <c r="N97" t="s">
        <v>134</v>
      </c>
    </row>
    <row r="98" spans="1:14" x14ac:dyDescent="0.25">
      <c r="A98">
        <v>197</v>
      </c>
      <c r="B98" t="s">
        <v>18</v>
      </c>
      <c r="C98" t="s">
        <v>1</v>
      </c>
      <c r="D98" t="s">
        <v>2</v>
      </c>
      <c r="E98" t="s">
        <v>12</v>
      </c>
      <c r="F98" t="s">
        <v>4</v>
      </c>
      <c r="G98" s="1">
        <v>46088</v>
      </c>
      <c r="H98" t="s">
        <v>5</v>
      </c>
      <c r="I98" t="s">
        <v>135</v>
      </c>
      <c r="J98" s="2">
        <v>199431000000</v>
      </c>
      <c r="K98" s="2">
        <v>172503000000</v>
      </c>
      <c r="L98" s="2">
        <v>313000000</v>
      </c>
      <c r="M98" s="2">
        <v>389000000</v>
      </c>
      <c r="N98" s="2">
        <v>152000000</v>
      </c>
    </row>
    <row r="99" spans="1:14" x14ac:dyDescent="0.25">
      <c r="A99">
        <v>196</v>
      </c>
      <c r="B99" t="s">
        <v>0</v>
      </c>
      <c r="C99" t="s">
        <v>22</v>
      </c>
      <c r="D99" t="s">
        <v>9</v>
      </c>
      <c r="E99" t="s">
        <v>12</v>
      </c>
      <c r="F99" t="s">
        <v>4</v>
      </c>
      <c r="G99" s="1">
        <v>46088</v>
      </c>
      <c r="H99" t="s">
        <v>36</v>
      </c>
      <c r="I99" t="s">
        <v>136</v>
      </c>
      <c r="J99" s="2">
        <v>6785896000000</v>
      </c>
      <c r="K99" s="2">
        <v>5869664000000</v>
      </c>
      <c r="L99" s="2">
        <v>259000000</v>
      </c>
      <c r="M99" s="2">
        <v>270000000</v>
      </c>
      <c r="N99" t="s">
        <v>118</v>
      </c>
    </row>
    <row r="100" spans="1:14" x14ac:dyDescent="0.25">
      <c r="A100">
        <v>195</v>
      </c>
      <c r="B100" t="s">
        <v>0</v>
      </c>
      <c r="C100" t="s">
        <v>8</v>
      </c>
      <c r="D100" t="s">
        <v>9</v>
      </c>
      <c r="E100" t="s">
        <v>3</v>
      </c>
      <c r="F100" t="s">
        <v>4</v>
      </c>
      <c r="G100" s="1">
        <v>46087</v>
      </c>
      <c r="H100" t="s">
        <v>5</v>
      </c>
      <c r="I100" t="s">
        <v>23</v>
      </c>
      <c r="J100" s="2">
        <v>7098488000000</v>
      </c>
      <c r="K100" s="2">
        <v>6140050000000</v>
      </c>
      <c r="L100" s="2">
        <v>370000000</v>
      </c>
      <c r="M100" s="2">
        <v>105000000</v>
      </c>
      <c r="N100" s="2">
        <v>234000000</v>
      </c>
    </row>
    <row r="101" spans="1:14" x14ac:dyDescent="0.25">
      <c r="A101">
        <v>194</v>
      </c>
      <c r="B101" t="s">
        <v>7</v>
      </c>
      <c r="C101" t="s">
        <v>1</v>
      </c>
      <c r="D101" t="s">
        <v>9</v>
      </c>
      <c r="E101" t="s">
        <v>12</v>
      </c>
      <c r="F101" t="s">
        <v>4</v>
      </c>
      <c r="G101" s="1">
        <v>46083</v>
      </c>
      <c r="H101" t="s">
        <v>5</v>
      </c>
      <c r="I101" t="s">
        <v>137</v>
      </c>
      <c r="J101" s="2">
        <v>6581619000000</v>
      </c>
      <c r="K101" s="2">
        <v>5626297000000</v>
      </c>
      <c r="L101" s="2">
        <v>471000000</v>
      </c>
      <c r="M101" s="2">
        <v>494000000</v>
      </c>
      <c r="N101" s="2">
        <v>236000000</v>
      </c>
    </row>
    <row r="102" spans="1:14" x14ac:dyDescent="0.25">
      <c r="A102">
        <v>193</v>
      </c>
      <c r="B102" t="s">
        <v>26</v>
      </c>
      <c r="C102" t="s">
        <v>1</v>
      </c>
      <c r="D102" t="s">
        <v>2</v>
      </c>
      <c r="E102" t="s">
        <v>3</v>
      </c>
      <c r="F102" t="s">
        <v>4</v>
      </c>
      <c r="G102" s="1">
        <v>46081</v>
      </c>
      <c r="H102" t="s">
        <v>36</v>
      </c>
      <c r="I102" t="s">
        <v>138</v>
      </c>
      <c r="J102" s="2">
        <v>192661000000</v>
      </c>
      <c r="K102" s="2">
        <v>163203000000</v>
      </c>
      <c r="L102" s="2">
        <v>612000000</v>
      </c>
      <c r="M102" s="2">
        <v>327000000</v>
      </c>
      <c r="N102" s="2">
        <v>108000000</v>
      </c>
    </row>
    <row r="103" spans="1:14" x14ac:dyDescent="0.25">
      <c r="A103">
        <v>192</v>
      </c>
      <c r="B103" t="s">
        <v>7</v>
      </c>
      <c r="C103" t="s">
        <v>22</v>
      </c>
      <c r="D103" t="s">
        <v>9</v>
      </c>
      <c r="E103" t="s">
        <v>12</v>
      </c>
      <c r="F103" t="s">
        <v>4</v>
      </c>
      <c r="G103" s="1">
        <v>46077</v>
      </c>
      <c r="H103" t="s">
        <v>5</v>
      </c>
      <c r="I103" t="s">
        <v>139</v>
      </c>
      <c r="J103" s="2">
        <v>6490364000000</v>
      </c>
      <c r="K103" s="2">
        <v>5511033000000</v>
      </c>
      <c r="L103" s="2">
        <v>244000000</v>
      </c>
      <c r="M103" s="2">
        <v>287000000</v>
      </c>
      <c r="N103" s="2">
        <v>256000000</v>
      </c>
    </row>
    <row r="104" spans="1:14" x14ac:dyDescent="0.25">
      <c r="A104">
        <v>191</v>
      </c>
      <c r="B104" t="s">
        <v>15</v>
      </c>
      <c r="C104" t="s">
        <v>22</v>
      </c>
      <c r="D104" t="s">
        <v>2</v>
      </c>
      <c r="E104" t="s">
        <v>3</v>
      </c>
      <c r="F104" t="s">
        <v>4</v>
      </c>
      <c r="G104" s="1">
        <v>46073</v>
      </c>
      <c r="H104" t="s">
        <v>36</v>
      </c>
      <c r="I104" t="s">
        <v>140</v>
      </c>
      <c r="J104" s="2">
        <v>193537000000</v>
      </c>
      <c r="K104" s="2">
        <v>164474000000</v>
      </c>
      <c r="L104" s="2">
        <v>308000000</v>
      </c>
      <c r="M104" s="2">
        <v>417000000</v>
      </c>
      <c r="N104" s="2">
        <v>132000000</v>
      </c>
    </row>
    <row r="105" spans="1:14" x14ac:dyDescent="0.25">
      <c r="A105">
        <v>190</v>
      </c>
      <c r="B105" t="s">
        <v>15</v>
      </c>
      <c r="C105" t="s">
        <v>8</v>
      </c>
      <c r="D105" t="s">
        <v>9</v>
      </c>
      <c r="E105" t="s">
        <v>3</v>
      </c>
      <c r="F105" t="s">
        <v>4</v>
      </c>
      <c r="G105" s="1">
        <v>46071</v>
      </c>
      <c r="H105" t="s">
        <v>36</v>
      </c>
      <c r="I105" t="s">
        <v>141</v>
      </c>
      <c r="J105" s="2">
        <v>6713092000000</v>
      </c>
      <c r="K105" s="2">
        <v>5667460000000</v>
      </c>
      <c r="L105" s="2">
        <v>813000000</v>
      </c>
      <c r="M105" s="2">
        <v>215000000</v>
      </c>
      <c r="N105" s="2">
        <v>239000000</v>
      </c>
    </row>
    <row r="106" spans="1:14" x14ac:dyDescent="0.25">
      <c r="A106">
        <v>189</v>
      </c>
      <c r="B106" t="s">
        <v>7</v>
      </c>
      <c r="C106" t="s">
        <v>1</v>
      </c>
      <c r="D106" t="s">
        <v>9</v>
      </c>
      <c r="E106" t="s">
        <v>12</v>
      </c>
      <c r="F106" t="s">
        <v>4</v>
      </c>
      <c r="G106" s="1">
        <v>46069</v>
      </c>
      <c r="H106" t="s">
        <v>5</v>
      </c>
      <c r="I106" t="s">
        <v>142</v>
      </c>
      <c r="J106" s="2">
        <v>6887767000000</v>
      </c>
      <c r="K106" s="2">
        <v>5810038000000</v>
      </c>
      <c r="L106" s="2">
        <v>754000000</v>
      </c>
      <c r="M106" s="2">
        <v>384000000</v>
      </c>
      <c r="N106" s="2">
        <v>214000000</v>
      </c>
    </row>
    <row r="107" spans="1:14" x14ac:dyDescent="0.25">
      <c r="A107">
        <v>188</v>
      </c>
      <c r="B107" t="s">
        <v>0</v>
      </c>
      <c r="C107" t="s">
        <v>1</v>
      </c>
      <c r="D107" t="s">
        <v>9</v>
      </c>
      <c r="E107" t="s">
        <v>3</v>
      </c>
      <c r="F107" t="s">
        <v>4</v>
      </c>
      <c r="G107" s="1">
        <v>46065</v>
      </c>
      <c r="H107" t="s">
        <v>36</v>
      </c>
      <c r="I107" t="s">
        <v>143</v>
      </c>
      <c r="J107" s="2">
        <v>6642731000000</v>
      </c>
      <c r="K107" s="2">
        <v>5594376000000</v>
      </c>
      <c r="L107" s="2">
        <v>252000000</v>
      </c>
      <c r="M107" s="2">
        <v>133000000</v>
      </c>
      <c r="N107" t="s">
        <v>144</v>
      </c>
    </row>
    <row r="108" spans="1:14" x14ac:dyDescent="0.25">
      <c r="A108">
        <v>187</v>
      </c>
      <c r="B108" t="s">
        <v>0</v>
      </c>
      <c r="C108" t="s">
        <v>22</v>
      </c>
      <c r="D108" t="s">
        <v>9</v>
      </c>
      <c r="E108" t="s">
        <v>3</v>
      </c>
      <c r="F108" t="s">
        <v>4</v>
      </c>
      <c r="G108" s="1">
        <v>46063</v>
      </c>
      <c r="H108" t="s">
        <v>36</v>
      </c>
      <c r="I108" t="s">
        <v>145</v>
      </c>
      <c r="J108" s="2">
        <v>6942445000000</v>
      </c>
      <c r="K108" s="2">
        <v>5836930000000</v>
      </c>
      <c r="L108" s="2">
        <v>649000000</v>
      </c>
      <c r="M108" s="2">
        <v>185000000</v>
      </c>
      <c r="N108" s="2">
        <v>232000000</v>
      </c>
    </row>
    <row r="109" spans="1:14" x14ac:dyDescent="0.25">
      <c r="A109">
        <v>186</v>
      </c>
      <c r="B109" t="s">
        <v>18</v>
      </c>
      <c r="C109" t="s">
        <v>22</v>
      </c>
      <c r="D109" t="s">
        <v>9</v>
      </c>
      <c r="E109" t="s">
        <v>3</v>
      </c>
      <c r="F109" t="s">
        <v>4</v>
      </c>
      <c r="G109" s="1">
        <v>46061</v>
      </c>
      <c r="H109" t="s">
        <v>5</v>
      </c>
      <c r="I109" t="s">
        <v>146</v>
      </c>
      <c r="J109" s="2">
        <v>6978746000000</v>
      </c>
      <c r="K109" s="2">
        <v>5917208000000</v>
      </c>
      <c r="L109" s="2">
        <v>457000000</v>
      </c>
      <c r="M109" s="2">
        <v>492000000</v>
      </c>
      <c r="N109" s="2">
        <v>193000000</v>
      </c>
    </row>
    <row r="110" spans="1:14" x14ac:dyDescent="0.25">
      <c r="A110">
        <v>185</v>
      </c>
      <c r="B110" t="s">
        <v>11</v>
      </c>
      <c r="C110" t="s">
        <v>8</v>
      </c>
      <c r="D110" t="s">
        <v>9</v>
      </c>
      <c r="E110" t="s">
        <v>3</v>
      </c>
      <c r="F110" t="s">
        <v>4</v>
      </c>
      <c r="G110" s="1">
        <v>46058</v>
      </c>
      <c r="H110" t="s">
        <v>36</v>
      </c>
      <c r="I110" t="s">
        <v>147</v>
      </c>
      <c r="J110" s="2">
        <v>7275794000000</v>
      </c>
      <c r="K110" s="2">
        <v>6166963000000</v>
      </c>
      <c r="L110" s="2">
        <v>281000000</v>
      </c>
      <c r="M110" s="2">
        <v>411000000</v>
      </c>
      <c r="N110" s="2">
        <v>290000000</v>
      </c>
    </row>
    <row r="111" spans="1:14" x14ac:dyDescent="0.25">
      <c r="A111">
        <v>184</v>
      </c>
      <c r="B111" t="s">
        <v>7</v>
      </c>
      <c r="C111" t="s">
        <v>22</v>
      </c>
      <c r="D111" t="s">
        <v>2</v>
      </c>
      <c r="E111" t="s">
        <v>3</v>
      </c>
      <c r="F111" t="s">
        <v>4</v>
      </c>
      <c r="G111" s="1">
        <v>46057</v>
      </c>
      <c r="H111" t="s">
        <v>5</v>
      </c>
      <c r="I111" t="s">
        <v>148</v>
      </c>
      <c r="J111" s="2">
        <v>223079000000</v>
      </c>
      <c r="K111" s="2">
        <v>188729000000</v>
      </c>
      <c r="L111" s="2">
        <v>926000000</v>
      </c>
      <c r="M111" s="2">
        <v>478000000</v>
      </c>
      <c r="N111" s="2">
        <v>187000000</v>
      </c>
    </row>
    <row r="112" spans="1:14" x14ac:dyDescent="0.25">
      <c r="A112">
        <v>183</v>
      </c>
      <c r="B112" t="s">
        <v>15</v>
      </c>
      <c r="C112" t="s">
        <v>8</v>
      </c>
      <c r="D112" t="s">
        <v>9</v>
      </c>
      <c r="E112" t="s">
        <v>12</v>
      </c>
      <c r="F112" t="s">
        <v>4</v>
      </c>
      <c r="G112" s="1">
        <v>46057</v>
      </c>
      <c r="H112" t="s">
        <v>36</v>
      </c>
      <c r="I112" t="s">
        <v>149</v>
      </c>
      <c r="J112" s="2">
        <v>7504518000000</v>
      </c>
      <c r="K112" s="2">
        <v>6348972000000</v>
      </c>
      <c r="L112" s="2">
        <v>899000000</v>
      </c>
      <c r="M112" s="2">
        <v>440000000</v>
      </c>
      <c r="N112" s="2">
        <v>163000000</v>
      </c>
    </row>
    <row r="113" spans="1:14" x14ac:dyDescent="0.25">
      <c r="A113">
        <v>182</v>
      </c>
      <c r="B113" t="s">
        <v>26</v>
      </c>
      <c r="C113" t="s">
        <v>8</v>
      </c>
      <c r="D113" t="s">
        <v>2</v>
      </c>
      <c r="E113" t="s">
        <v>12</v>
      </c>
      <c r="F113" t="s">
        <v>4</v>
      </c>
      <c r="G113" s="1">
        <v>46055</v>
      </c>
      <c r="H113" t="s">
        <v>36</v>
      </c>
      <c r="I113" t="s">
        <v>150</v>
      </c>
      <c r="J113" s="2">
        <v>226571000000</v>
      </c>
      <c r="K113" s="2">
        <v>191360000000</v>
      </c>
      <c r="L113" s="2">
        <v>454000000</v>
      </c>
      <c r="M113" s="2">
        <v>408000000</v>
      </c>
      <c r="N113" s="2">
        <v>237000000</v>
      </c>
    </row>
    <row r="114" spans="1:14" x14ac:dyDescent="0.25">
      <c r="A114">
        <v>181</v>
      </c>
      <c r="B114" t="s">
        <v>18</v>
      </c>
      <c r="C114" t="s">
        <v>8</v>
      </c>
      <c r="D114" t="s">
        <v>9</v>
      </c>
      <c r="E114" t="s">
        <v>3</v>
      </c>
      <c r="F114" t="s">
        <v>4</v>
      </c>
      <c r="G114" s="1">
        <v>46054</v>
      </c>
      <c r="H114" t="s">
        <v>36</v>
      </c>
      <c r="I114" t="s">
        <v>151</v>
      </c>
      <c r="J114" s="2">
        <v>7821220000000</v>
      </c>
      <c r="K114" s="2">
        <v>6562003000000</v>
      </c>
      <c r="L114" s="2">
        <v>779000000</v>
      </c>
      <c r="M114" s="2">
        <v>289000000</v>
      </c>
      <c r="N114" s="2">
        <v>150000000</v>
      </c>
    </row>
    <row r="115" spans="1:14" x14ac:dyDescent="0.25">
      <c r="A115">
        <v>180</v>
      </c>
      <c r="B115" t="s">
        <v>15</v>
      </c>
      <c r="C115" t="s">
        <v>1</v>
      </c>
      <c r="D115" t="s">
        <v>2</v>
      </c>
      <c r="E115" t="s">
        <v>3</v>
      </c>
      <c r="F115" t="s">
        <v>4</v>
      </c>
      <c r="G115" s="1">
        <v>46053</v>
      </c>
      <c r="H115" t="s">
        <v>36</v>
      </c>
      <c r="I115" t="s">
        <v>152</v>
      </c>
      <c r="J115" s="2">
        <v>269566000000</v>
      </c>
      <c r="K115" s="2">
        <v>226166000000</v>
      </c>
      <c r="L115" s="2">
        <v>768000000</v>
      </c>
      <c r="M115" s="2">
        <v>290000000</v>
      </c>
      <c r="N115" t="s">
        <v>153</v>
      </c>
    </row>
    <row r="116" spans="1:14" x14ac:dyDescent="0.25">
      <c r="A116">
        <v>179</v>
      </c>
      <c r="B116" t="s">
        <v>26</v>
      </c>
      <c r="C116" t="s">
        <v>8</v>
      </c>
      <c r="D116" t="s">
        <v>2</v>
      </c>
      <c r="E116" t="s">
        <v>3</v>
      </c>
      <c r="F116" t="s">
        <v>4</v>
      </c>
      <c r="G116" s="1">
        <v>46052</v>
      </c>
      <c r="H116" t="s">
        <v>5</v>
      </c>
      <c r="I116" t="s">
        <v>154</v>
      </c>
      <c r="J116" s="2">
        <v>283395000000</v>
      </c>
      <c r="K116" s="2">
        <v>237768000000</v>
      </c>
      <c r="L116" s="2">
        <v>891000000</v>
      </c>
      <c r="M116" s="2">
        <v>394000000</v>
      </c>
      <c r="N116" t="s">
        <v>112</v>
      </c>
    </row>
    <row r="117" spans="1:14" x14ac:dyDescent="0.25">
      <c r="A117">
        <v>178</v>
      </c>
      <c r="B117" t="s">
        <v>0</v>
      </c>
      <c r="C117" t="s">
        <v>1</v>
      </c>
      <c r="D117" t="s">
        <v>9</v>
      </c>
      <c r="E117" t="s">
        <v>3</v>
      </c>
      <c r="F117" t="s">
        <v>4</v>
      </c>
      <c r="G117" s="1">
        <v>46052</v>
      </c>
      <c r="H117" t="s">
        <v>36</v>
      </c>
      <c r="I117" t="s">
        <v>155</v>
      </c>
      <c r="J117" s="2">
        <v>8433066000000</v>
      </c>
      <c r="K117" s="2">
        <v>7075342000000</v>
      </c>
      <c r="L117" s="2">
        <v>647000000</v>
      </c>
      <c r="M117" s="2">
        <v>155000000</v>
      </c>
      <c r="N117" s="2">
        <v>143000000</v>
      </c>
    </row>
    <row r="118" spans="1:14" x14ac:dyDescent="0.25">
      <c r="A118">
        <v>177</v>
      </c>
      <c r="B118" t="s">
        <v>7</v>
      </c>
      <c r="C118" t="s">
        <v>22</v>
      </c>
      <c r="D118" t="s">
        <v>9</v>
      </c>
      <c r="E118" t="s">
        <v>12</v>
      </c>
      <c r="F118" t="s">
        <v>4</v>
      </c>
      <c r="G118" s="1">
        <v>46050</v>
      </c>
      <c r="H118" t="s">
        <v>36</v>
      </c>
      <c r="I118" t="s">
        <v>156</v>
      </c>
      <c r="J118" s="2">
        <v>8857337000000</v>
      </c>
      <c r="K118" s="2">
        <v>7397117000000</v>
      </c>
      <c r="L118" s="2">
        <v>562000000</v>
      </c>
      <c r="M118" s="2">
        <v>230000000</v>
      </c>
      <c r="N118" t="s">
        <v>157</v>
      </c>
    </row>
    <row r="119" spans="1:14" x14ac:dyDescent="0.25">
      <c r="A119">
        <v>176</v>
      </c>
      <c r="B119" t="s">
        <v>26</v>
      </c>
      <c r="C119" t="s">
        <v>22</v>
      </c>
      <c r="D119" t="s">
        <v>2</v>
      </c>
      <c r="E119" t="s">
        <v>12</v>
      </c>
      <c r="F119" t="s">
        <v>4</v>
      </c>
      <c r="G119" s="1">
        <v>46049</v>
      </c>
      <c r="H119" t="s">
        <v>36</v>
      </c>
      <c r="I119" t="s">
        <v>158</v>
      </c>
      <c r="J119" s="2">
        <v>292083000000</v>
      </c>
      <c r="K119" s="2">
        <v>244850000000</v>
      </c>
      <c r="L119" s="2">
        <v>710000000</v>
      </c>
      <c r="M119" s="2">
        <v>246000000</v>
      </c>
      <c r="N119" s="2">
        <v>105000000</v>
      </c>
    </row>
    <row r="120" spans="1:14" x14ac:dyDescent="0.25">
      <c r="A120">
        <v>175</v>
      </c>
      <c r="B120" t="s">
        <v>26</v>
      </c>
      <c r="C120" t="s">
        <v>8</v>
      </c>
      <c r="D120" t="s">
        <v>9</v>
      </c>
      <c r="E120" t="s">
        <v>12</v>
      </c>
      <c r="F120" t="s">
        <v>4</v>
      </c>
      <c r="G120" s="1">
        <v>46046</v>
      </c>
      <c r="H120" t="s">
        <v>36</v>
      </c>
      <c r="I120" t="s">
        <v>159</v>
      </c>
      <c r="J120" s="2">
        <v>8893228000000</v>
      </c>
      <c r="K120" s="2">
        <v>7573829000000</v>
      </c>
      <c r="L120" s="2">
        <v>242000000</v>
      </c>
      <c r="M120" s="2">
        <v>422000000</v>
      </c>
      <c r="N120" t="s">
        <v>160</v>
      </c>
    </row>
    <row r="121" spans="1:14" x14ac:dyDescent="0.25">
      <c r="A121">
        <v>174</v>
      </c>
      <c r="B121" t="s">
        <v>0</v>
      </c>
      <c r="C121" t="s">
        <v>1</v>
      </c>
      <c r="D121" t="s">
        <v>9</v>
      </c>
      <c r="E121" t="s">
        <v>12</v>
      </c>
      <c r="F121" t="s">
        <v>4</v>
      </c>
      <c r="G121" s="1">
        <v>46045</v>
      </c>
      <c r="H121" t="s">
        <v>36</v>
      </c>
      <c r="I121" t="s">
        <v>161</v>
      </c>
      <c r="J121" s="2">
        <v>8925810000000</v>
      </c>
      <c r="K121" s="2">
        <v>7601576000000</v>
      </c>
      <c r="L121" s="2">
        <v>976000000</v>
      </c>
      <c r="M121" s="2">
        <v>140000000</v>
      </c>
      <c r="N121" s="2">
        <v>200000000</v>
      </c>
    </row>
    <row r="122" spans="1:14" x14ac:dyDescent="0.25">
      <c r="A122">
        <v>173</v>
      </c>
      <c r="B122" t="s">
        <v>11</v>
      </c>
      <c r="C122" t="s">
        <v>8</v>
      </c>
      <c r="D122" t="s">
        <v>2</v>
      </c>
      <c r="E122" t="s">
        <v>3</v>
      </c>
      <c r="F122" t="s">
        <v>4</v>
      </c>
      <c r="G122" s="1">
        <v>46043</v>
      </c>
      <c r="H122" t="s">
        <v>36</v>
      </c>
      <c r="I122" t="s">
        <v>118</v>
      </c>
      <c r="J122" s="2">
        <v>292145000000</v>
      </c>
      <c r="K122" s="2">
        <v>248867000000</v>
      </c>
      <c r="L122" s="2">
        <v>265000000</v>
      </c>
      <c r="M122" s="2">
        <v>139000000</v>
      </c>
      <c r="N122" s="2">
        <v>269000000</v>
      </c>
    </row>
    <row r="123" spans="1:14" x14ac:dyDescent="0.25">
      <c r="A123">
        <v>172</v>
      </c>
      <c r="B123" t="s">
        <v>7</v>
      </c>
      <c r="C123" t="s">
        <v>1</v>
      </c>
      <c r="D123" t="s">
        <v>9</v>
      </c>
      <c r="E123" t="s">
        <v>3</v>
      </c>
      <c r="F123" t="s">
        <v>4</v>
      </c>
      <c r="G123" s="1">
        <v>46043</v>
      </c>
      <c r="H123" t="s">
        <v>5</v>
      </c>
      <c r="I123" t="s">
        <v>162</v>
      </c>
      <c r="J123" s="2">
        <v>8905043000000</v>
      </c>
      <c r="K123" s="2">
        <v>7585850000000</v>
      </c>
      <c r="L123" s="2">
        <v>919000000</v>
      </c>
      <c r="M123" s="2">
        <v>306000000</v>
      </c>
      <c r="N123" s="2">
        <v>117000000</v>
      </c>
    </row>
    <row r="124" spans="1:14" x14ac:dyDescent="0.25">
      <c r="A124">
        <v>171</v>
      </c>
      <c r="B124" t="s">
        <v>7</v>
      </c>
      <c r="C124" t="s">
        <v>8</v>
      </c>
      <c r="D124" t="s">
        <v>2</v>
      </c>
      <c r="E124" t="s">
        <v>12</v>
      </c>
      <c r="F124" t="s">
        <v>4</v>
      </c>
      <c r="G124" s="1">
        <v>46042</v>
      </c>
      <c r="H124" t="s">
        <v>36</v>
      </c>
      <c r="I124" t="s">
        <v>163</v>
      </c>
      <c r="J124" s="2">
        <v>316341000000</v>
      </c>
      <c r="K124" s="2">
        <v>269732000000</v>
      </c>
      <c r="L124" s="2">
        <v>870000000</v>
      </c>
      <c r="M124" s="2">
        <v>205000000</v>
      </c>
      <c r="N124" s="2">
        <v>137000000</v>
      </c>
    </row>
    <row r="125" spans="1:14" x14ac:dyDescent="0.25">
      <c r="A125">
        <v>170</v>
      </c>
      <c r="B125" t="s">
        <v>7</v>
      </c>
      <c r="C125" t="s">
        <v>1</v>
      </c>
      <c r="D125" t="s">
        <v>2</v>
      </c>
      <c r="E125" t="s">
        <v>3</v>
      </c>
      <c r="F125" t="s">
        <v>4</v>
      </c>
      <c r="G125" s="1">
        <v>46041</v>
      </c>
      <c r="H125" t="s">
        <v>5</v>
      </c>
      <c r="I125" t="s">
        <v>164</v>
      </c>
      <c r="J125" s="2">
        <v>330280000000</v>
      </c>
      <c r="K125" s="2">
        <v>283965000000</v>
      </c>
      <c r="L125" s="2">
        <v>377000000</v>
      </c>
      <c r="M125" s="2">
        <v>265000000</v>
      </c>
      <c r="N125" s="2">
        <v>227000000</v>
      </c>
    </row>
    <row r="126" spans="1:14" x14ac:dyDescent="0.25">
      <c r="A126">
        <v>169</v>
      </c>
      <c r="B126" t="s">
        <v>26</v>
      </c>
      <c r="C126" t="s">
        <v>22</v>
      </c>
      <c r="D126" t="s">
        <v>2</v>
      </c>
      <c r="E126" t="s">
        <v>12</v>
      </c>
      <c r="F126" t="s">
        <v>4</v>
      </c>
      <c r="G126" s="1">
        <v>46039</v>
      </c>
      <c r="H126" t="s">
        <v>5</v>
      </c>
      <c r="I126" t="s">
        <v>165</v>
      </c>
      <c r="J126" s="2">
        <v>332746000000</v>
      </c>
      <c r="K126" s="2">
        <v>286431000000</v>
      </c>
      <c r="L126" s="2">
        <v>969000000</v>
      </c>
      <c r="M126" s="2">
        <v>284000000</v>
      </c>
      <c r="N126" s="2">
        <v>162000000</v>
      </c>
    </row>
    <row r="127" spans="1:14" x14ac:dyDescent="0.25">
      <c r="A127">
        <v>168</v>
      </c>
      <c r="B127" t="s">
        <v>7</v>
      </c>
      <c r="C127" t="s">
        <v>1</v>
      </c>
      <c r="D127" t="s">
        <v>2</v>
      </c>
      <c r="E127" t="s">
        <v>12</v>
      </c>
      <c r="F127" t="s">
        <v>4</v>
      </c>
      <c r="G127" s="1">
        <v>46037</v>
      </c>
      <c r="H127" t="s">
        <v>36</v>
      </c>
      <c r="I127" t="s">
        <v>166</v>
      </c>
      <c r="J127" s="2">
        <v>332395000000</v>
      </c>
      <c r="K127" s="2">
        <v>285956000000</v>
      </c>
      <c r="L127" s="2">
        <v>995000000</v>
      </c>
      <c r="M127" s="2">
        <v>304000000</v>
      </c>
      <c r="N127" s="2">
        <v>196000000</v>
      </c>
    </row>
    <row r="128" spans="1:14" x14ac:dyDescent="0.25">
      <c r="A128">
        <v>167</v>
      </c>
      <c r="B128" t="s">
        <v>15</v>
      </c>
      <c r="C128" t="s">
        <v>22</v>
      </c>
      <c r="D128" t="s">
        <v>9</v>
      </c>
      <c r="E128" t="s">
        <v>12</v>
      </c>
      <c r="F128" t="s">
        <v>4</v>
      </c>
      <c r="G128" s="1">
        <v>46037</v>
      </c>
      <c r="H128" t="s">
        <v>36</v>
      </c>
      <c r="I128" t="s">
        <v>167</v>
      </c>
      <c r="J128" s="2">
        <v>9632344000000</v>
      </c>
      <c r="K128" s="2">
        <v>8286609000000</v>
      </c>
      <c r="L128" s="2">
        <v>267000000</v>
      </c>
      <c r="M128" s="2">
        <v>347000000</v>
      </c>
      <c r="N128" s="2">
        <v>169000000</v>
      </c>
    </row>
    <row r="129" spans="1:14" x14ac:dyDescent="0.25">
      <c r="A129">
        <v>166</v>
      </c>
      <c r="B129" t="s">
        <v>26</v>
      </c>
      <c r="C129" t="s">
        <v>8</v>
      </c>
      <c r="D129" t="s">
        <v>2</v>
      </c>
      <c r="E129" t="s">
        <v>3</v>
      </c>
      <c r="F129" t="s">
        <v>4</v>
      </c>
      <c r="G129" s="1">
        <v>46035</v>
      </c>
      <c r="H129" t="s">
        <v>36</v>
      </c>
      <c r="I129" t="s">
        <v>168</v>
      </c>
      <c r="J129" s="2">
        <v>307354000000</v>
      </c>
      <c r="K129" s="2">
        <v>263732000000</v>
      </c>
      <c r="L129" s="2">
        <v>421000000</v>
      </c>
      <c r="M129" s="2">
        <v>351000000</v>
      </c>
      <c r="N129" t="s">
        <v>60</v>
      </c>
    </row>
    <row r="130" spans="1:14" x14ac:dyDescent="0.25">
      <c r="A130">
        <v>165</v>
      </c>
      <c r="B130" t="s">
        <v>11</v>
      </c>
      <c r="C130" t="s">
        <v>22</v>
      </c>
      <c r="D130" t="s">
        <v>2</v>
      </c>
      <c r="E130" t="s">
        <v>12</v>
      </c>
      <c r="F130" t="s">
        <v>4</v>
      </c>
      <c r="G130" s="1">
        <v>46034</v>
      </c>
      <c r="H130" t="s">
        <v>5</v>
      </c>
      <c r="I130" t="s">
        <v>169</v>
      </c>
      <c r="J130" s="2">
        <v>312490000000</v>
      </c>
      <c r="K130" s="2">
        <v>267270000000</v>
      </c>
      <c r="L130" s="2">
        <v>762000000</v>
      </c>
      <c r="M130" s="2">
        <v>196000000</v>
      </c>
      <c r="N130" t="s">
        <v>116</v>
      </c>
    </row>
    <row r="131" spans="1:14" x14ac:dyDescent="0.25">
      <c r="A131">
        <v>164</v>
      </c>
      <c r="B131" t="s">
        <v>11</v>
      </c>
      <c r="C131" t="s">
        <v>8</v>
      </c>
      <c r="D131" t="s">
        <v>2</v>
      </c>
      <c r="E131" t="s">
        <v>3</v>
      </c>
      <c r="F131" t="s">
        <v>4</v>
      </c>
      <c r="G131" s="1">
        <v>46033</v>
      </c>
      <c r="H131" t="s">
        <v>36</v>
      </c>
      <c r="I131" t="s">
        <v>118</v>
      </c>
      <c r="J131" s="2">
        <v>306782000000</v>
      </c>
      <c r="K131" s="2">
        <v>263513000000</v>
      </c>
      <c r="L131" s="2">
        <v>220000000</v>
      </c>
      <c r="M131" s="2">
        <v>110000000</v>
      </c>
      <c r="N131" s="2">
        <v>272000000</v>
      </c>
    </row>
    <row r="132" spans="1:14" x14ac:dyDescent="0.25">
      <c r="A132">
        <v>163</v>
      </c>
      <c r="B132" t="s">
        <v>18</v>
      </c>
      <c r="C132" t="s">
        <v>1</v>
      </c>
      <c r="D132" t="s">
        <v>9</v>
      </c>
      <c r="E132" t="s">
        <v>12</v>
      </c>
      <c r="F132" t="s">
        <v>4</v>
      </c>
      <c r="G132" s="1">
        <v>46033</v>
      </c>
      <c r="H132" t="s">
        <v>5</v>
      </c>
      <c r="I132" t="s">
        <v>170</v>
      </c>
      <c r="J132" s="2">
        <v>9092321000000</v>
      </c>
      <c r="K132" s="2">
        <v>7809940000000</v>
      </c>
      <c r="L132" s="2">
        <v>695000000</v>
      </c>
      <c r="M132" s="2">
        <v>495000000</v>
      </c>
      <c r="N132" s="2">
        <v>120000000</v>
      </c>
    </row>
    <row r="133" spans="1:14" x14ac:dyDescent="0.25">
      <c r="A133">
        <v>162</v>
      </c>
      <c r="B133" t="s">
        <v>18</v>
      </c>
      <c r="C133" t="s">
        <v>1</v>
      </c>
      <c r="D133" t="s">
        <v>2</v>
      </c>
      <c r="E133" t="s">
        <v>3</v>
      </c>
      <c r="F133" t="s">
        <v>4</v>
      </c>
      <c r="G133" s="1">
        <v>46032</v>
      </c>
      <c r="H133" t="s">
        <v>5</v>
      </c>
      <c r="I133" t="s">
        <v>171</v>
      </c>
      <c r="J133" s="2">
        <v>311263000000</v>
      </c>
      <c r="K133" s="2">
        <v>267362000000</v>
      </c>
      <c r="L133" s="2">
        <v>901000000</v>
      </c>
      <c r="M133" s="2">
        <v>410000000</v>
      </c>
      <c r="N133" s="2">
        <v>205000000</v>
      </c>
    </row>
    <row r="134" spans="1:14" x14ac:dyDescent="0.25">
      <c r="A134">
        <v>161</v>
      </c>
      <c r="B134" t="s">
        <v>26</v>
      </c>
      <c r="C134" t="s">
        <v>8</v>
      </c>
      <c r="D134" t="s">
        <v>2</v>
      </c>
      <c r="E134" t="s">
        <v>3</v>
      </c>
      <c r="F134" t="s">
        <v>4</v>
      </c>
      <c r="G134" s="1">
        <v>46025</v>
      </c>
      <c r="H134" t="s">
        <v>36</v>
      </c>
      <c r="I134" t="s">
        <v>172</v>
      </c>
      <c r="J134" s="2">
        <v>310487000000</v>
      </c>
      <c r="K134" s="2">
        <v>264899000000</v>
      </c>
      <c r="L134" s="2">
        <v>385000000</v>
      </c>
      <c r="M134" s="2">
        <v>404000000</v>
      </c>
      <c r="N134" s="2">
        <v>208000000</v>
      </c>
    </row>
    <row r="135" spans="1:14" x14ac:dyDescent="0.25">
      <c r="A135">
        <v>160</v>
      </c>
      <c r="B135" t="s">
        <v>7</v>
      </c>
      <c r="C135" t="s">
        <v>1</v>
      </c>
      <c r="D135" t="s">
        <v>2</v>
      </c>
      <c r="E135" t="s">
        <v>3</v>
      </c>
      <c r="F135" t="s">
        <v>4</v>
      </c>
      <c r="G135" s="1">
        <v>46024</v>
      </c>
      <c r="H135" t="s">
        <v>5</v>
      </c>
      <c r="I135" t="s">
        <v>173</v>
      </c>
      <c r="J135" s="2">
        <v>302802000000</v>
      </c>
      <c r="K135" s="2">
        <v>258341000000</v>
      </c>
      <c r="L135" s="2">
        <v>889000000</v>
      </c>
      <c r="M135" s="2">
        <v>396000000</v>
      </c>
      <c r="N135" s="2">
        <v>253000000</v>
      </c>
    </row>
    <row r="136" spans="1:14" x14ac:dyDescent="0.25">
      <c r="A136">
        <v>159</v>
      </c>
      <c r="B136" t="s">
        <v>7</v>
      </c>
      <c r="C136" t="s">
        <v>22</v>
      </c>
      <c r="D136" t="s">
        <v>9</v>
      </c>
      <c r="E136" t="s">
        <v>3</v>
      </c>
      <c r="F136" t="s">
        <v>4</v>
      </c>
      <c r="G136" s="1">
        <v>46023</v>
      </c>
      <c r="H136" t="s">
        <v>36</v>
      </c>
      <c r="I136" t="s">
        <v>174</v>
      </c>
      <c r="J136" s="2">
        <v>8687821000000</v>
      </c>
      <c r="K136" s="2">
        <v>7393857000000</v>
      </c>
      <c r="L136" s="2">
        <v>312000000</v>
      </c>
      <c r="M136" s="2">
        <v>399000000</v>
      </c>
      <c r="N136" s="2">
        <v>179000000</v>
      </c>
    </row>
    <row r="137" spans="1:14" x14ac:dyDescent="0.25">
      <c r="A137">
        <v>158</v>
      </c>
      <c r="B137" t="s">
        <v>11</v>
      </c>
      <c r="C137" t="s">
        <v>8</v>
      </c>
      <c r="D137" t="s">
        <v>2</v>
      </c>
      <c r="E137" t="s">
        <v>12</v>
      </c>
      <c r="F137" t="s">
        <v>4</v>
      </c>
      <c r="G137" s="1">
        <v>46020</v>
      </c>
      <c r="H137" t="s">
        <v>36</v>
      </c>
      <c r="I137" t="s">
        <v>175</v>
      </c>
      <c r="J137" s="2">
        <v>292687000000</v>
      </c>
      <c r="K137" s="2">
        <v>248758000000</v>
      </c>
      <c r="L137" s="2">
        <v>443000000</v>
      </c>
      <c r="M137" s="2">
        <v>291000000</v>
      </c>
      <c r="N137" t="s">
        <v>176</v>
      </c>
    </row>
    <row r="138" spans="1:14" x14ac:dyDescent="0.25">
      <c r="A138">
        <v>157</v>
      </c>
      <c r="B138" t="s">
        <v>15</v>
      </c>
      <c r="C138" t="s">
        <v>22</v>
      </c>
      <c r="D138" t="s">
        <v>2</v>
      </c>
      <c r="E138" t="s">
        <v>12</v>
      </c>
      <c r="F138" t="s">
        <v>4</v>
      </c>
      <c r="G138" s="1">
        <v>46019</v>
      </c>
      <c r="H138" t="s">
        <v>5</v>
      </c>
      <c r="I138" t="s">
        <v>177</v>
      </c>
      <c r="J138" s="2">
        <v>296623000000</v>
      </c>
      <c r="K138" s="2">
        <v>251652000000</v>
      </c>
      <c r="L138" s="2">
        <v>768000000</v>
      </c>
      <c r="M138" s="2">
        <v>239000000</v>
      </c>
      <c r="N138" s="2">
        <v>101000000</v>
      </c>
    </row>
    <row r="139" spans="1:14" x14ac:dyDescent="0.25">
      <c r="A139">
        <v>156</v>
      </c>
      <c r="B139" t="s">
        <v>18</v>
      </c>
      <c r="C139" t="s">
        <v>1</v>
      </c>
      <c r="D139" t="s">
        <v>9</v>
      </c>
      <c r="E139" t="s">
        <v>3</v>
      </c>
      <c r="F139" t="s">
        <v>4</v>
      </c>
      <c r="G139" s="1">
        <v>46017</v>
      </c>
      <c r="H139" t="s">
        <v>36</v>
      </c>
      <c r="I139" t="s">
        <v>143</v>
      </c>
      <c r="J139" s="2">
        <v>8710816000000</v>
      </c>
      <c r="K139" s="2">
        <v>7390169000000</v>
      </c>
      <c r="L139" s="2">
        <v>643000000</v>
      </c>
      <c r="M139" s="2">
        <v>339000000</v>
      </c>
      <c r="N139" t="s">
        <v>81</v>
      </c>
    </row>
    <row r="140" spans="1:14" x14ac:dyDescent="0.25">
      <c r="A140">
        <v>155</v>
      </c>
      <c r="B140" t="s">
        <v>7</v>
      </c>
      <c r="C140" t="s">
        <v>22</v>
      </c>
      <c r="D140" t="s">
        <v>9</v>
      </c>
      <c r="E140" t="s">
        <v>12</v>
      </c>
      <c r="F140" t="s">
        <v>4</v>
      </c>
      <c r="G140" s="1">
        <v>46012</v>
      </c>
      <c r="H140" t="s">
        <v>36</v>
      </c>
      <c r="I140" t="s">
        <v>178</v>
      </c>
      <c r="J140" s="2">
        <v>8790373000000</v>
      </c>
      <c r="K140" s="2">
        <v>7505485000000</v>
      </c>
      <c r="L140" s="2">
        <v>252000000</v>
      </c>
      <c r="M140" s="2">
        <v>130000000</v>
      </c>
      <c r="N140" s="2">
        <v>207000000</v>
      </c>
    </row>
    <row r="141" spans="1:14" x14ac:dyDescent="0.25">
      <c r="A141">
        <v>154</v>
      </c>
      <c r="B141" t="s">
        <v>7</v>
      </c>
      <c r="C141" t="s">
        <v>8</v>
      </c>
      <c r="D141" t="s">
        <v>2</v>
      </c>
      <c r="E141" t="s">
        <v>3</v>
      </c>
      <c r="F141" t="s">
        <v>4</v>
      </c>
      <c r="G141" s="1">
        <v>46011</v>
      </c>
      <c r="H141" t="s">
        <v>5</v>
      </c>
      <c r="I141" t="s">
        <v>179</v>
      </c>
      <c r="J141" s="2">
        <v>300166000000</v>
      </c>
      <c r="K141" s="2">
        <v>256290000000</v>
      </c>
      <c r="L141" s="2">
        <v>365000000</v>
      </c>
      <c r="M141" s="2">
        <v>102000000</v>
      </c>
      <c r="N141" s="2">
        <v>119000000</v>
      </c>
    </row>
    <row r="142" spans="1:14" x14ac:dyDescent="0.25">
      <c r="A142">
        <v>153</v>
      </c>
      <c r="B142" t="s">
        <v>18</v>
      </c>
      <c r="C142" t="s">
        <v>22</v>
      </c>
      <c r="D142" t="s">
        <v>9</v>
      </c>
      <c r="E142" t="s">
        <v>12</v>
      </c>
      <c r="F142" t="s">
        <v>4</v>
      </c>
      <c r="G142" s="1">
        <v>46011</v>
      </c>
      <c r="H142" t="s">
        <v>5</v>
      </c>
      <c r="I142" t="s">
        <v>180</v>
      </c>
      <c r="J142" s="2">
        <v>8838640000000</v>
      </c>
      <c r="K142" s="2">
        <v>7546696000000</v>
      </c>
      <c r="L142" s="2">
        <v>579000000</v>
      </c>
      <c r="M142" s="2">
        <v>171000000</v>
      </c>
      <c r="N142" s="2">
        <v>121000000</v>
      </c>
    </row>
    <row r="143" spans="1:14" x14ac:dyDescent="0.25">
      <c r="A143">
        <v>152</v>
      </c>
      <c r="B143" t="s">
        <v>15</v>
      </c>
      <c r="C143" t="s">
        <v>22</v>
      </c>
      <c r="D143" t="s">
        <v>2</v>
      </c>
      <c r="E143" t="s">
        <v>12</v>
      </c>
      <c r="F143" t="s">
        <v>4</v>
      </c>
      <c r="G143" s="1">
        <v>46005</v>
      </c>
      <c r="H143" t="s">
        <v>36</v>
      </c>
      <c r="I143" t="s">
        <v>181</v>
      </c>
      <c r="J143" s="2">
        <v>309355000000</v>
      </c>
      <c r="K143" s="2">
        <v>263706000000</v>
      </c>
      <c r="L143" s="2">
        <v>236000000</v>
      </c>
      <c r="M143" s="2">
        <v>168000000</v>
      </c>
      <c r="N143" s="2">
        <v>158000000</v>
      </c>
    </row>
    <row r="144" spans="1:14" x14ac:dyDescent="0.25">
      <c r="A144">
        <v>151</v>
      </c>
      <c r="B144" t="s">
        <v>18</v>
      </c>
      <c r="C144" t="s">
        <v>22</v>
      </c>
      <c r="D144" t="s">
        <v>2</v>
      </c>
      <c r="E144" t="s">
        <v>3</v>
      </c>
      <c r="F144" t="s">
        <v>4</v>
      </c>
      <c r="G144" s="1">
        <v>46004</v>
      </c>
      <c r="H144" t="s">
        <v>5</v>
      </c>
      <c r="I144" t="s">
        <v>182</v>
      </c>
      <c r="J144" s="2">
        <v>310436000000</v>
      </c>
      <c r="K144" s="2">
        <v>264628000000</v>
      </c>
      <c r="L144" s="2">
        <v>643000000</v>
      </c>
      <c r="M144" s="2">
        <v>273000000</v>
      </c>
      <c r="N144" s="2">
        <v>238000000</v>
      </c>
    </row>
    <row r="145" spans="1:14" x14ac:dyDescent="0.25">
      <c r="A145">
        <v>150</v>
      </c>
      <c r="B145" t="s">
        <v>0</v>
      </c>
      <c r="C145" t="s">
        <v>1</v>
      </c>
      <c r="D145" t="s">
        <v>9</v>
      </c>
      <c r="E145" t="s">
        <v>12</v>
      </c>
      <c r="F145" t="s">
        <v>4</v>
      </c>
      <c r="G145" s="1">
        <v>46002</v>
      </c>
      <c r="H145" t="s">
        <v>36</v>
      </c>
      <c r="I145" t="s">
        <v>183</v>
      </c>
      <c r="J145" s="2">
        <v>9140861000000</v>
      </c>
      <c r="K145" s="2">
        <v>7803370000000</v>
      </c>
      <c r="L145" s="2">
        <v>967000000</v>
      </c>
      <c r="M145" s="2">
        <v>190000000</v>
      </c>
      <c r="N145" s="2">
        <v>193000000</v>
      </c>
    </row>
    <row r="146" spans="1:14" x14ac:dyDescent="0.25">
      <c r="A146">
        <v>149</v>
      </c>
      <c r="B146" t="s">
        <v>26</v>
      </c>
      <c r="C146" t="s">
        <v>8</v>
      </c>
      <c r="D146" t="s">
        <v>9</v>
      </c>
      <c r="E146" t="s">
        <v>3</v>
      </c>
      <c r="F146" t="s">
        <v>4</v>
      </c>
      <c r="G146" s="1">
        <v>45998</v>
      </c>
      <c r="H146" t="s">
        <v>36</v>
      </c>
      <c r="I146" t="s">
        <v>184</v>
      </c>
      <c r="J146" s="2">
        <v>8839656000000</v>
      </c>
      <c r="K146" s="2">
        <v>7590966000000</v>
      </c>
      <c r="L146" s="2">
        <v>440000000</v>
      </c>
      <c r="M146" s="2">
        <v>187000000</v>
      </c>
      <c r="N146" s="2">
        <v>116000000</v>
      </c>
    </row>
    <row r="147" spans="1:14" x14ac:dyDescent="0.25">
      <c r="A147">
        <v>148</v>
      </c>
      <c r="B147" t="s">
        <v>0</v>
      </c>
      <c r="C147" t="s">
        <v>8</v>
      </c>
      <c r="D147" t="s">
        <v>9</v>
      </c>
      <c r="E147" t="s">
        <v>3</v>
      </c>
      <c r="F147" t="s">
        <v>4</v>
      </c>
      <c r="G147" s="1">
        <v>45995</v>
      </c>
      <c r="H147" t="s">
        <v>5</v>
      </c>
      <c r="I147" t="s">
        <v>185</v>
      </c>
      <c r="J147" s="2">
        <v>9406533000000</v>
      </c>
      <c r="K147" s="2">
        <v>8063186000000</v>
      </c>
      <c r="L147" s="2">
        <v>508000000</v>
      </c>
      <c r="M147" s="2">
        <v>164000000</v>
      </c>
      <c r="N147" s="2">
        <v>158000000</v>
      </c>
    </row>
    <row r="148" spans="1:14" x14ac:dyDescent="0.25">
      <c r="A148">
        <v>147</v>
      </c>
      <c r="B148" t="s">
        <v>18</v>
      </c>
      <c r="C148" t="s">
        <v>8</v>
      </c>
      <c r="D148" t="s">
        <v>9</v>
      </c>
      <c r="E148" t="s">
        <v>3</v>
      </c>
      <c r="F148" t="s">
        <v>4</v>
      </c>
      <c r="G148" s="1">
        <v>45994</v>
      </c>
      <c r="H148" t="s">
        <v>36</v>
      </c>
      <c r="I148" t="s">
        <v>186</v>
      </c>
      <c r="J148" s="2">
        <v>9083928000000</v>
      </c>
      <c r="K148" s="2">
        <v>7785290000000</v>
      </c>
      <c r="L148" s="2">
        <v>213000000</v>
      </c>
      <c r="M148" s="2">
        <v>205000000</v>
      </c>
      <c r="N148" t="s">
        <v>187</v>
      </c>
    </row>
    <row r="149" spans="1:14" x14ac:dyDescent="0.25">
      <c r="A149">
        <v>146</v>
      </c>
      <c r="B149" t="s">
        <v>15</v>
      </c>
      <c r="C149" t="s">
        <v>22</v>
      </c>
      <c r="D149" t="s">
        <v>9</v>
      </c>
      <c r="E149" t="s">
        <v>3</v>
      </c>
      <c r="F149" t="s">
        <v>4</v>
      </c>
      <c r="G149" s="1">
        <v>45993</v>
      </c>
      <c r="H149" t="s">
        <v>5</v>
      </c>
      <c r="I149" t="s">
        <v>188</v>
      </c>
      <c r="J149" s="2">
        <v>8686723000000</v>
      </c>
      <c r="K149" s="2">
        <v>7479528000000</v>
      </c>
      <c r="L149" s="2">
        <v>491000000</v>
      </c>
      <c r="M149" s="2">
        <v>239000000</v>
      </c>
      <c r="N149" s="2">
        <v>265000000</v>
      </c>
    </row>
    <row r="150" spans="1:14" x14ac:dyDescent="0.25">
      <c r="A150">
        <v>145</v>
      </c>
      <c r="B150" t="s">
        <v>0</v>
      </c>
      <c r="C150" t="s">
        <v>1</v>
      </c>
      <c r="D150" t="s">
        <v>2</v>
      </c>
      <c r="E150" t="s">
        <v>12</v>
      </c>
      <c r="F150" t="s">
        <v>4</v>
      </c>
      <c r="G150" s="1">
        <v>45991</v>
      </c>
      <c r="H150" t="s">
        <v>36</v>
      </c>
      <c r="I150" t="s">
        <v>65</v>
      </c>
      <c r="J150" s="2">
        <v>297061000000</v>
      </c>
      <c r="K150" s="2">
        <v>256839000000</v>
      </c>
      <c r="L150" s="2">
        <v>806000000</v>
      </c>
      <c r="M150" s="2">
        <v>426000000</v>
      </c>
      <c r="N150" s="2">
        <v>240000000</v>
      </c>
    </row>
    <row r="151" spans="1:14" x14ac:dyDescent="0.25">
      <c r="A151">
        <v>144</v>
      </c>
      <c r="B151" t="s">
        <v>7</v>
      </c>
      <c r="C151" t="s">
        <v>22</v>
      </c>
      <c r="D151" t="s">
        <v>9</v>
      </c>
      <c r="E151" t="s">
        <v>3</v>
      </c>
      <c r="F151" t="s">
        <v>4</v>
      </c>
      <c r="G151" s="1">
        <v>45991</v>
      </c>
      <c r="H151" t="s">
        <v>5</v>
      </c>
      <c r="I151" t="s">
        <v>189</v>
      </c>
      <c r="J151" s="2">
        <v>9153134000000</v>
      </c>
      <c r="K151" s="2">
        <v>7913800000000</v>
      </c>
      <c r="L151" s="2">
        <v>995000000</v>
      </c>
      <c r="M151" s="2">
        <v>104000000</v>
      </c>
      <c r="N151" s="2">
        <v>289000000</v>
      </c>
    </row>
    <row r="152" spans="1:14" x14ac:dyDescent="0.25">
      <c r="A152">
        <v>143</v>
      </c>
      <c r="B152" t="s">
        <v>11</v>
      </c>
      <c r="C152" t="s">
        <v>8</v>
      </c>
      <c r="D152" t="s">
        <v>9</v>
      </c>
      <c r="E152" t="s">
        <v>3</v>
      </c>
      <c r="F152" t="s">
        <v>4</v>
      </c>
      <c r="G152" s="1">
        <v>45988</v>
      </c>
      <c r="H152" t="s">
        <v>5</v>
      </c>
      <c r="I152" t="s">
        <v>190</v>
      </c>
      <c r="J152" s="2">
        <v>9121275000000</v>
      </c>
      <c r="K152" s="2">
        <v>7872664000000</v>
      </c>
      <c r="L152" s="2">
        <v>642000000</v>
      </c>
      <c r="M152" s="2">
        <v>370000000</v>
      </c>
      <c r="N152" t="s">
        <v>42</v>
      </c>
    </row>
    <row r="153" spans="1:14" x14ac:dyDescent="0.25">
      <c r="A153">
        <v>142</v>
      </c>
      <c r="B153" t="s">
        <v>15</v>
      </c>
      <c r="C153" t="s">
        <v>22</v>
      </c>
      <c r="D153" t="s">
        <v>9</v>
      </c>
      <c r="E153" t="s">
        <v>3</v>
      </c>
      <c r="F153" t="s">
        <v>4</v>
      </c>
      <c r="G153" s="1">
        <v>45987</v>
      </c>
      <c r="H153" t="s">
        <v>5</v>
      </c>
      <c r="I153" t="s">
        <v>189</v>
      </c>
      <c r="J153" s="2">
        <v>8794416000000</v>
      </c>
      <c r="K153" s="2">
        <v>7596441000000</v>
      </c>
      <c r="L153" s="2">
        <v>658000000</v>
      </c>
      <c r="M153" s="2">
        <v>359000000</v>
      </c>
      <c r="N153" s="2">
        <v>191000000</v>
      </c>
    </row>
    <row r="154" spans="1:14" x14ac:dyDescent="0.25">
      <c r="A154">
        <v>141</v>
      </c>
      <c r="B154" t="s">
        <v>7</v>
      </c>
      <c r="C154" t="s">
        <v>8</v>
      </c>
      <c r="D154" t="s">
        <v>2</v>
      </c>
      <c r="E154" t="s">
        <v>12</v>
      </c>
      <c r="F154" t="s">
        <v>4</v>
      </c>
      <c r="G154" s="1">
        <v>45984</v>
      </c>
      <c r="H154" t="s">
        <v>5</v>
      </c>
      <c r="I154" t="s">
        <v>191</v>
      </c>
      <c r="J154" s="2">
        <v>278625000000</v>
      </c>
      <c r="K154" s="2">
        <v>241863000000</v>
      </c>
      <c r="L154" s="2">
        <v>402000000</v>
      </c>
      <c r="M154" s="2">
        <v>168000000</v>
      </c>
      <c r="N154" t="s">
        <v>131</v>
      </c>
    </row>
    <row r="155" spans="1:14" x14ac:dyDescent="0.25">
      <c r="A155">
        <v>140</v>
      </c>
      <c r="B155" t="s">
        <v>0</v>
      </c>
      <c r="C155" t="s">
        <v>22</v>
      </c>
      <c r="D155" t="s">
        <v>2</v>
      </c>
      <c r="E155" t="s">
        <v>12</v>
      </c>
      <c r="F155" t="s">
        <v>4</v>
      </c>
      <c r="G155" s="1">
        <v>45983</v>
      </c>
      <c r="H155" t="s">
        <v>5</v>
      </c>
      <c r="I155" t="s">
        <v>192</v>
      </c>
      <c r="J155" s="2">
        <v>276897000000</v>
      </c>
      <c r="K155" s="2">
        <v>240363000000</v>
      </c>
      <c r="L155" s="2">
        <v>647000000</v>
      </c>
      <c r="M155" s="2">
        <v>396000000</v>
      </c>
      <c r="N155" t="s">
        <v>193</v>
      </c>
    </row>
    <row r="156" spans="1:14" x14ac:dyDescent="0.25">
      <c r="A156">
        <v>139</v>
      </c>
      <c r="B156" t="s">
        <v>11</v>
      </c>
      <c r="C156" t="s">
        <v>1</v>
      </c>
      <c r="D156" t="s">
        <v>2</v>
      </c>
      <c r="E156" t="s">
        <v>3</v>
      </c>
      <c r="F156" t="s">
        <v>4</v>
      </c>
      <c r="G156" s="1">
        <v>45982</v>
      </c>
      <c r="H156" t="s">
        <v>5</v>
      </c>
      <c r="I156" t="s">
        <v>194</v>
      </c>
      <c r="J156" s="2">
        <v>284719000000</v>
      </c>
      <c r="K156" s="2">
        <v>247153000000</v>
      </c>
      <c r="L156" s="2">
        <v>508000000</v>
      </c>
      <c r="M156" s="2">
        <v>371000000</v>
      </c>
      <c r="N156" t="s">
        <v>90</v>
      </c>
    </row>
    <row r="157" spans="1:14" x14ac:dyDescent="0.25">
      <c r="A157">
        <v>138</v>
      </c>
      <c r="B157" t="s">
        <v>26</v>
      </c>
      <c r="C157" t="s">
        <v>8</v>
      </c>
      <c r="D157" t="s">
        <v>9</v>
      </c>
      <c r="E157" t="s">
        <v>3</v>
      </c>
      <c r="F157" t="s">
        <v>4</v>
      </c>
      <c r="G157" s="1">
        <v>45982</v>
      </c>
      <c r="H157" t="s">
        <v>5</v>
      </c>
      <c r="I157" t="s">
        <v>195</v>
      </c>
      <c r="J157" s="2">
        <v>8731933000000</v>
      </c>
      <c r="K157" s="2">
        <v>7579842000000</v>
      </c>
      <c r="L157" s="2">
        <v>501000000</v>
      </c>
      <c r="M157" s="2">
        <v>361000000</v>
      </c>
      <c r="N157" s="2">
        <v>104000000</v>
      </c>
    </row>
    <row r="158" spans="1:14" x14ac:dyDescent="0.25">
      <c r="A158">
        <v>137</v>
      </c>
      <c r="B158" t="s">
        <v>18</v>
      </c>
      <c r="C158" t="s">
        <v>1</v>
      </c>
      <c r="D158" t="s">
        <v>9</v>
      </c>
      <c r="E158" t="s">
        <v>12</v>
      </c>
      <c r="F158" t="s">
        <v>4</v>
      </c>
      <c r="G158" s="1">
        <v>45980</v>
      </c>
      <c r="H158" t="s">
        <v>36</v>
      </c>
      <c r="I158" t="s">
        <v>196</v>
      </c>
      <c r="J158" s="2">
        <v>9222530000000</v>
      </c>
      <c r="K158" s="2">
        <v>7962087000000</v>
      </c>
      <c r="L158" s="2">
        <v>516000000</v>
      </c>
      <c r="M158" s="2">
        <v>322000000</v>
      </c>
      <c r="N158" s="2">
        <v>232000000</v>
      </c>
    </row>
    <row r="159" spans="1:14" x14ac:dyDescent="0.25">
      <c r="A159">
        <v>136</v>
      </c>
      <c r="B159" t="s">
        <v>0</v>
      </c>
      <c r="C159" t="s">
        <v>8</v>
      </c>
      <c r="D159" t="s">
        <v>9</v>
      </c>
      <c r="E159" t="s">
        <v>12</v>
      </c>
      <c r="F159" t="s">
        <v>4</v>
      </c>
      <c r="G159" s="1">
        <v>45979</v>
      </c>
      <c r="H159" t="s">
        <v>36</v>
      </c>
      <c r="I159" t="s">
        <v>37</v>
      </c>
      <c r="J159" s="2">
        <v>9121865000000</v>
      </c>
      <c r="K159" s="2">
        <v>7870436000000</v>
      </c>
      <c r="L159" s="2">
        <v>742000000</v>
      </c>
      <c r="M159" s="2">
        <v>363000000</v>
      </c>
      <c r="N159" t="s">
        <v>197</v>
      </c>
    </row>
    <row r="160" spans="1:14" x14ac:dyDescent="0.25">
      <c r="A160">
        <v>135</v>
      </c>
      <c r="B160" t="s">
        <v>18</v>
      </c>
      <c r="C160" t="s">
        <v>8</v>
      </c>
      <c r="D160" t="s">
        <v>2</v>
      </c>
      <c r="E160" t="s">
        <v>3</v>
      </c>
      <c r="F160" t="s">
        <v>4</v>
      </c>
      <c r="G160" s="1">
        <v>45977</v>
      </c>
      <c r="H160" t="s">
        <v>36</v>
      </c>
      <c r="I160" t="s">
        <v>198</v>
      </c>
      <c r="J160" s="2">
        <v>315042000000</v>
      </c>
      <c r="K160" s="2">
        <v>270470000000</v>
      </c>
      <c r="L160" s="2">
        <v>238000000</v>
      </c>
      <c r="M160" s="2">
        <v>461000000</v>
      </c>
      <c r="N160" t="s">
        <v>134</v>
      </c>
    </row>
    <row r="161" spans="1:14" x14ac:dyDescent="0.25">
      <c r="A161">
        <v>134</v>
      </c>
      <c r="B161" t="s">
        <v>7</v>
      </c>
      <c r="C161" t="s">
        <v>8</v>
      </c>
      <c r="D161" t="s">
        <v>2</v>
      </c>
      <c r="E161" t="s">
        <v>12</v>
      </c>
      <c r="F161" t="s">
        <v>4</v>
      </c>
      <c r="G161" s="1">
        <v>45976</v>
      </c>
      <c r="H161" t="s">
        <v>5</v>
      </c>
      <c r="I161" t="s">
        <v>199</v>
      </c>
      <c r="J161" s="2">
        <v>311712000000</v>
      </c>
      <c r="K161" s="2">
        <v>267611000000</v>
      </c>
      <c r="L161" s="2">
        <v>594000000</v>
      </c>
      <c r="M161" s="2">
        <v>383000000</v>
      </c>
      <c r="N161" s="2">
        <v>257000000</v>
      </c>
    </row>
    <row r="162" spans="1:14" x14ac:dyDescent="0.25">
      <c r="A162">
        <v>133</v>
      </c>
      <c r="B162" t="s">
        <v>26</v>
      </c>
      <c r="C162" t="s">
        <v>1</v>
      </c>
      <c r="D162" t="s">
        <v>2</v>
      </c>
      <c r="E162" t="s">
        <v>12</v>
      </c>
      <c r="F162" t="s">
        <v>4</v>
      </c>
      <c r="G162" s="1">
        <v>45975</v>
      </c>
      <c r="H162" t="s">
        <v>5</v>
      </c>
      <c r="I162" t="s">
        <v>200</v>
      </c>
      <c r="J162" s="2">
        <v>324601000000</v>
      </c>
      <c r="K162" s="2">
        <v>278676000000</v>
      </c>
      <c r="L162" s="2">
        <v>613000000</v>
      </c>
      <c r="M162" s="2">
        <v>436000000</v>
      </c>
      <c r="N162" s="2">
        <v>131000000</v>
      </c>
    </row>
    <row r="163" spans="1:14" x14ac:dyDescent="0.25">
      <c r="A163">
        <v>132</v>
      </c>
      <c r="B163" t="s">
        <v>15</v>
      </c>
      <c r="C163" t="s">
        <v>8</v>
      </c>
      <c r="D163" t="s">
        <v>2</v>
      </c>
      <c r="E163" t="s">
        <v>3</v>
      </c>
      <c r="F163" t="s">
        <v>4</v>
      </c>
      <c r="G163" s="1">
        <v>45974</v>
      </c>
      <c r="H163" t="s">
        <v>5</v>
      </c>
      <c r="I163" t="s">
        <v>201</v>
      </c>
      <c r="J163" s="2">
        <v>342739000000</v>
      </c>
      <c r="K163" s="2">
        <v>294982000000</v>
      </c>
      <c r="L163" s="2">
        <v>287000000</v>
      </c>
      <c r="M163" s="2">
        <v>198000000</v>
      </c>
      <c r="N163" t="s">
        <v>202</v>
      </c>
    </row>
    <row r="164" spans="1:14" x14ac:dyDescent="0.25">
      <c r="A164">
        <v>131</v>
      </c>
      <c r="B164" t="s">
        <v>15</v>
      </c>
      <c r="C164" t="s">
        <v>1</v>
      </c>
      <c r="D164" t="s">
        <v>9</v>
      </c>
      <c r="E164" t="s">
        <v>3</v>
      </c>
      <c r="F164" t="s">
        <v>4</v>
      </c>
      <c r="G164" s="1">
        <v>45972</v>
      </c>
      <c r="H164" t="s">
        <v>36</v>
      </c>
      <c r="I164" t="s">
        <v>203</v>
      </c>
      <c r="J164" s="2">
        <v>10498072000000</v>
      </c>
      <c r="K164" s="2">
        <v>9069599000000</v>
      </c>
      <c r="L164" s="2">
        <v>746000000</v>
      </c>
      <c r="M164" s="2">
        <v>213000000</v>
      </c>
      <c r="N164" s="2">
        <v>262000000</v>
      </c>
    </row>
    <row r="165" spans="1:14" x14ac:dyDescent="0.25">
      <c r="A165">
        <v>130</v>
      </c>
      <c r="B165" t="s">
        <v>18</v>
      </c>
      <c r="C165" t="s">
        <v>22</v>
      </c>
      <c r="D165" t="s">
        <v>2</v>
      </c>
      <c r="E165" t="s">
        <v>12</v>
      </c>
      <c r="F165" t="s">
        <v>4</v>
      </c>
      <c r="G165" s="1">
        <v>45971</v>
      </c>
      <c r="H165" t="s">
        <v>5</v>
      </c>
      <c r="I165" t="s">
        <v>204</v>
      </c>
      <c r="J165" s="2">
        <v>358379000000</v>
      </c>
      <c r="K165" s="2">
        <v>309723000000</v>
      </c>
      <c r="L165" s="2">
        <v>554000000</v>
      </c>
      <c r="M165" s="2">
        <v>274000000</v>
      </c>
      <c r="N165" t="s">
        <v>205</v>
      </c>
    </row>
    <row r="166" spans="1:14" x14ac:dyDescent="0.25">
      <c r="A166">
        <v>129</v>
      </c>
      <c r="B166" t="s">
        <v>0</v>
      </c>
      <c r="C166" t="s">
        <v>1</v>
      </c>
      <c r="D166" t="s">
        <v>9</v>
      </c>
      <c r="E166" t="s">
        <v>3</v>
      </c>
      <c r="F166" t="s">
        <v>4</v>
      </c>
      <c r="G166" s="1">
        <v>45971</v>
      </c>
      <c r="H166" t="s">
        <v>5</v>
      </c>
      <c r="I166" t="s">
        <v>206</v>
      </c>
      <c r="J166" s="2">
        <v>10536300000000</v>
      </c>
      <c r="K166" s="2">
        <v>9105787000000</v>
      </c>
      <c r="L166" s="2">
        <v>684000000</v>
      </c>
      <c r="M166" s="2">
        <v>153000000</v>
      </c>
      <c r="N166" s="2">
        <v>248000000</v>
      </c>
    </row>
    <row r="167" spans="1:14" x14ac:dyDescent="0.25">
      <c r="A167">
        <v>128</v>
      </c>
      <c r="B167" t="s">
        <v>0</v>
      </c>
      <c r="C167" t="s">
        <v>22</v>
      </c>
      <c r="D167" t="s">
        <v>2</v>
      </c>
      <c r="E167" t="s">
        <v>3</v>
      </c>
      <c r="F167" t="s">
        <v>4</v>
      </c>
      <c r="G167" s="1">
        <v>45964</v>
      </c>
      <c r="H167" t="s">
        <v>5</v>
      </c>
      <c r="I167" t="s">
        <v>207</v>
      </c>
      <c r="J167" s="2">
        <v>394844000000</v>
      </c>
      <c r="K167" s="2">
        <v>342926000000</v>
      </c>
      <c r="L167" s="2">
        <v>923000000</v>
      </c>
      <c r="M167" s="2">
        <v>151000000</v>
      </c>
      <c r="N167" s="2">
        <v>204000000</v>
      </c>
    </row>
    <row r="168" spans="1:14" x14ac:dyDescent="0.25">
      <c r="A168">
        <v>127</v>
      </c>
      <c r="B168" t="s">
        <v>7</v>
      </c>
      <c r="C168" t="s">
        <v>22</v>
      </c>
      <c r="D168" t="s">
        <v>9</v>
      </c>
      <c r="E168" t="s">
        <v>3</v>
      </c>
      <c r="F168" t="s">
        <v>4</v>
      </c>
      <c r="G168" s="1">
        <v>45961</v>
      </c>
      <c r="H168" t="s">
        <v>5</v>
      </c>
      <c r="I168" t="s">
        <v>208</v>
      </c>
      <c r="J168" s="2">
        <v>10877811000000</v>
      </c>
      <c r="K168" s="2">
        <v>9414745000000</v>
      </c>
      <c r="L168" s="2">
        <v>688000000</v>
      </c>
      <c r="M168" s="2">
        <v>439000000</v>
      </c>
      <c r="N168" t="s">
        <v>209</v>
      </c>
    </row>
    <row r="169" spans="1:14" x14ac:dyDescent="0.25">
      <c r="A169">
        <v>126</v>
      </c>
      <c r="B169" t="s">
        <v>0</v>
      </c>
      <c r="C169" t="s">
        <v>22</v>
      </c>
      <c r="D169" t="s">
        <v>9</v>
      </c>
      <c r="E169" t="s">
        <v>12</v>
      </c>
      <c r="F169" t="s">
        <v>4</v>
      </c>
      <c r="G169" s="1">
        <v>45958</v>
      </c>
      <c r="H169" t="s">
        <v>5</v>
      </c>
      <c r="I169" t="s">
        <v>184</v>
      </c>
      <c r="J169" s="2">
        <v>11488171000000</v>
      </c>
      <c r="K169" s="2">
        <v>9878104000000</v>
      </c>
      <c r="L169" s="2">
        <v>201000000</v>
      </c>
      <c r="M169" s="2">
        <v>228000000</v>
      </c>
      <c r="N169" t="s">
        <v>210</v>
      </c>
    </row>
    <row r="170" spans="1:14" x14ac:dyDescent="0.25">
      <c r="A170">
        <v>125</v>
      </c>
      <c r="B170" t="s">
        <v>15</v>
      </c>
      <c r="C170" t="s">
        <v>1</v>
      </c>
      <c r="D170" t="s">
        <v>9</v>
      </c>
      <c r="E170" t="s">
        <v>3</v>
      </c>
      <c r="F170" t="s">
        <v>4</v>
      </c>
      <c r="G170" s="1">
        <v>45954</v>
      </c>
      <c r="H170" t="s">
        <v>5</v>
      </c>
      <c r="I170" t="s">
        <v>122</v>
      </c>
      <c r="J170" s="2">
        <v>11095800000000</v>
      </c>
      <c r="K170" s="2">
        <v>9555481000000</v>
      </c>
      <c r="L170" s="2">
        <v>954000000</v>
      </c>
      <c r="M170" s="2">
        <v>370000000</v>
      </c>
      <c r="N170" t="s">
        <v>129</v>
      </c>
    </row>
    <row r="171" spans="1:14" x14ac:dyDescent="0.25">
      <c r="A171">
        <v>124</v>
      </c>
      <c r="B171" t="s">
        <v>11</v>
      </c>
      <c r="C171" t="s">
        <v>1</v>
      </c>
      <c r="D171" t="s">
        <v>2</v>
      </c>
      <c r="E171" t="s">
        <v>12</v>
      </c>
      <c r="F171" t="s">
        <v>4</v>
      </c>
      <c r="G171" s="1">
        <v>45953</v>
      </c>
      <c r="H171" t="s">
        <v>36</v>
      </c>
      <c r="I171" t="s">
        <v>211</v>
      </c>
      <c r="J171" s="2">
        <v>377360000000</v>
      </c>
      <c r="K171" s="2">
        <v>325507000000</v>
      </c>
      <c r="L171" s="2">
        <v>898000000</v>
      </c>
      <c r="M171" s="2">
        <v>247000000</v>
      </c>
      <c r="N171" s="2">
        <v>222000000</v>
      </c>
    </row>
    <row r="172" spans="1:14" x14ac:dyDescent="0.25">
      <c r="A172">
        <v>123</v>
      </c>
      <c r="B172" t="s">
        <v>7</v>
      </c>
      <c r="C172" t="s">
        <v>8</v>
      </c>
      <c r="D172" t="s">
        <v>2</v>
      </c>
      <c r="E172" t="s">
        <v>12</v>
      </c>
      <c r="F172" t="s">
        <v>4</v>
      </c>
      <c r="G172" s="1">
        <v>45949</v>
      </c>
      <c r="H172" t="s">
        <v>36</v>
      </c>
      <c r="I172" t="s">
        <v>212</v>
      </c>
      <c r="J172" s="2">
        <v>385940000000</v>
      </c>
      <c r="K172" s="2">
        <v>330399000000</v>
      </c>
      <c r="L172" s="2">
        <v>946000000</v>
      </c>
      <c r="M172" s="2">
        <v>408000000</v>
      </c>
      <c r="N172" t="s">
        <v>213</v>
      </c>
    </row>
    <row r="173" spans="1:14" x14ac:dyDescent="0.25">
      <c r="A173">
        <v>122</v>
      </c>
      <c r="B173" t="s">
        <v>7</v>
      </c>
      <c r="C173" t="s">
        <v>22</v>
      </c>
      <c r="D173" t="s">
        <v>9</v>
      </c>
      <c r="E173" t="s">
        <v>3</v>
      </c>
      <c r="F173" t="s">
        <v>4</v>
      </c>
      <c r="G173" s="1">
        <v>45949</v>
      </c>
      <c r="H173" t="s">
        <v>36</v>
      </c>
      <c r="I173" t="s">
        <v>214</v>
      </c>
      <c r="J173" s="2">
        <v>10678287000000</v>
      </c>
      <c r="K173" s="2">
        <v>9141575000000</v>
      </c>
      <c r="L173" s="2">
        <v>270000000</v>
      </c>
      <c r="M173" s="2">
        <v>104000000</v>
      </c>
      <c r="N173" s="2">
        <v>195000000</v>
      </c>
    </row>
    <row r="174" spans="1:14" x14ac:dyDescent="0.25">
      <c r="A174">
        <v>121</v>
      </c>
      <c r="B174" t="s">
        <v>11</v>
      </c>
      <c r="C174" t="s">
        <v>22</v>
      </c>
      <c r="D174" t="s">
        <v>9</v>
      </c>
      <c r="E174" t="s">
        <v>3</v>
      </c>
      <c r="F174" t="s">
        <v>4</v>
      </c>
      <c r="G174" s="1">
        <v>45948</v>
      </c>
      <c r="H174" t="s">
        <v>36</v>
      </c>
      <c r="I174" t="s">
        <v>215</v>
      </c>
      <c r="J174" s="2">
        <v>10540855000000</v>
      </c>
      <c r="K174" s="2">
        <v>9023920000000</v>
      </c>
      <c r="L174" s="2">
        <v>953000000</v>
      </c>
      <c r="M174" s="2">
        <v>419000000</v>
      </c>
      <c r="N174" s="2">
        <v>227000000</v>
      </c>
    </row>
    <row r="175" spans="1:14" x14ac:dyDescent="0.25">
      <c r="A175">
        <v>120</v>
      </c>
      <c r="B175" t="s">
        <v>26</v>
      </c>
      <c r="C175" t="s">
        <v>1</v>
      </c>
      <c r="D175" t="s">
        <v>2</v>
      </c>
      <c r="E175" t="s">
        <v>3</v>
      </c>
      <c r="F175" t="s">
        <v>4</v>
      </c>
      <c r="G175" s="1">
        <v>45947</v>
      </c>
      <c r="H175" t="s">
        <v>5</v>
      </c>
      <c r="I175" t="s">
        <v>216</v>
      </c>
      <c r="J175" s="2">
        <v>391471000000</v>
      </c>
      <c r="K175" s="2">
        <v>335134000000</v>
      </c>
      <c r="L175" s="2">
        <v>798000000</v>
      </c>
      <c r="M175" s="2">
        <v>447000000</v>
      </c>
      <c r="N175" t="s">
        <v>217</v>
      </c>
    </row>
    <row r="176" spans="1:14" x14ac:dyDescent="0.25">
      <c r="A176">
        <v>119</v>
      </c>
      <c r="B176" t="s">
        <v>15</v>
      </c>
      <c r="C176" t="s">
        <v>1</v>
      </c>
      <c r="D176" t="s">
        <v>9</v>
      </c>
      <c r="E176" t="s">
        <v>12</v>
      </c>
      <c r="F176" t="s">
        <v>4</v>
      </c>
      <c r="G176" s="1">
        <v>45946</v>
      </c>
      <c r="H176" t="s">
        <v>5</v>
      </c>
      <c r="I176" t="s">
        <v>218</v>
      </c>
      <c r="J176" s="2">
        <v>11152041000000</v>
      </c>
      <c r="K176" s="2">
        <v>9573358000000</v>
      </c>
      <c r="L176" s="2">
        <v>280000000</v>
      </c>
      <c r="M176" s="2">
        <v>476000000</v>
      </c>
      <c r="N176" t="s">
        <v>219</v>
      </c>
    </row>
    <row r="177" spans="1:14" x14ac:dyDescent="0.25">
      <c r="A177">
        <v>118</v>
      </c>
      <c r="B177" t="s">
        <v>18</v>
      </c>
      <c r="C177" t="s">
        <v>8</v>
      </c>
      <c r="D177" t="s">
        <v>2</v>
      </c>
      <c r="E177" t="s">
        <v>12</v>
      </c>
      <c r="F177" t="s">
        <v>4</v>
      </c>
      <c r="G177" s="1">
        <v>45941</v>
      </c>
      <c r="H177" t="s">
        <v>5</v>
      </c>
      <c r="I177" t="s">
        <v>220</v>
      </c>
      <c r="J177" s="2">
        <v>386187000000</v>
      </c>
      <c r="K177" s="2">
        <v>333839000000</v>
      </c>
      <c r="L177" s="2">
        <v>807000000</v>
      </c>
      <c r="M177" s="2">
        <v>141000000</v>
      </c>
      <c r="N177" t="s">
        <v>64</v>
      </c>
    </row>
    <row r="178" spans="1:14" x14ac:dyDescent="0.25">
      <c r="A178">
        <v>117</v>
      </c>
      <c r="B178" t="s">
        <v>11</v>
      </c>
      <c r="C178" t="s">
        <v>1</v>
      </c>
      <c r="D178" t="s">
        <v>2</v>
      </c>
      <c r="E178" t="s">
        <v>12</v>
      </c>
      <c r="F178" t="s">
        <v>4</v>
      </c>
      <c r="G178" s="1">
        <v>45939</v>
      </c>
      <c r="H178" t="s">
        <v>5</v>
      </c>
      <c r="I178" t="s">
        <v>221</v>
      </c>
      <c r="J178" s="2">
        <v>453445000000</v>
      </c>
      <c r="K178" s="2">
        <v>390530000000</v>
      </c>
      <c r="L178" s="2">
        <v>985000000</v>
      </c>
      <c r="M178" s="2">
        <v>325000000</v>
      </c>
      <c r="N178" s="2">
        <v>107000000</v>
      </c>
    </row>
    <row r="179" spans="1:14" x14ac:dyDescent="0.25">
      <c r="A179">
        <v>116</v>
      </c>
      <c r="B179" t="s">
        <v>11</v>
      </c>
      <c r="C179" t="s">
        <v>22</v>
      </c>
      <c r="D179" t="s">
        <v>9</v>
      </c>
      <c r="E179" t="s">
        <v>12</v>
      </c>
      <c r="F179" t="s">
        <v>4</v>
      </c>
      <c r="G179" s="1">
        <v>45939</v>
      </c>
      <c r="H179" t="s">
        <v>36</v>
      </c>
      <c r="I179" t="s">
        <v>222</v>
      </c>
      <c r="J179" s="2">
        <v>12297696000000</v>
      </c>
      <c r="K179" s="2">
        <v>10591391000000</v>
      </c>
      <c r="L179" s="2">
        <v>659000000</v>
      </c>
      <c r="M179" s="2">
        <v>291000000</v>
      </c>
      <c r="N179" s="2">
        <v>246000000</v>
      </c>
    </row>
    <row r="180" spans="1:14" x14ac:dyDescent="0.25">
      <c r="A180">
        <v>115</v>
      </c>
      <c r="B180" t="s">
        <v>11</v>
      </c>
      <c r="C180" t="s">
        <v>22</v>
      </c>
      <c r="D180" t="s">
        <v>2</v>
      </c>
      <c r="E180" t="s">
        <v>12</v>
      </c>
      <c r="F180" t="s">
        <v>4</v>
      </c>
      <c r="G180" s="1">
        <v>45937</v>
      </c>
      <c r="H180" t="s">
        <v>36</v>
      </c>
      <c r="I180" t="s">
        <v>223</v>
      </c>
      <c r="J180" s="2">
        <v>464831000000</v>
      </c>
      <c r="K180" s="2">
        <v>398448000000</v>
      </c>
      <c r="L180" s="2">
        <v>498000000</v>
      </c>
      <c r="M180" s="2">
        <v>179000000</v>
      </c>
      <c r="N180" t="s">
        <v>224</v>
      </c>
    </row>
    <row r="181" spans="1:14" x14ac:dyDescent="0.25">
      <c r="A181">
        <v>114</v>
      </c>
      <c r="B181" t="s">
        <v>0</v>
      </c>
      <c r="C181" t="s">
        <v>1</v>
      </c>
      <c r="D181" t="s">
        <v>9</v>
      </c>
      <c r="E181" t="s">
        <v>3</v>
      </c>
      <c r="F181" t="s">
        <v>4</v>
      </c>
      <c r="G181" s="1">
        <v>45936</v>
      </c>
      <c r="H181" t="s">
        <v>36</v>
      </c>
      <c r="I181" t="s">
        <v>225</v>
      </c>
      <c r="J181" s="2">
        <v>12276070000000</v>
      </c>
      <c r="K181" s="2">
        <v>10512121000000</v>
      </c>
      <c r="L181" s="2">
        <v>299000000</v>
      </c>
      <c r="M181" s="2">
        <v>109000000</v>
      </c>
      <c r="N181" t="s">
        <v>90</v>
      </c>
    </row>
    <row r="182" spans="1:14" x14ac:dyDescent="0.25">
      <c r="A182">
        <v>113</v>
      </c>
      <c r="B182" t="s">
        <v>26</v>
      </c>
      <c r="C182" t="s">
        <v>1</v>
      </c>
      <c r="D182" t="s">
        <v>2</v>
      </c>
      <c r="E182" t="s">
        <v>3</v>
      </c>
      <c r="F182" t="s">
        <v>4</v>
      </c>
      <c r="G182" s="1">
        <v>45935</v>
      </c>
      <c r="H182" t="s">
        <v>5</v>
      </c>
      <c r="I182" t="s">
        <v>226</v>
      </c>
      <c r="J182" s="2">
        <v>450742000000</v>
      </c>
      <c r="K182" s="2">
        <v>384131000000</v>
      </c>
      <c r="L182" s="2">
        <v>901000000</v>
      </c>
      <c r="M182" s="2">
        <v>320000000</v>
      </c>
      <c r="N182" s="2">
        <v>290000000</v>
      </c>
    </row>
    <row r="183" spans="1:14" x14ac:dyDescent="0.25">
      <c r="A183">
        <v>112</v>
      </c>
      <c r="B183" t="s">
        <v>15</v>
      </c>
      <c r="C183" t="s">
        <v>8</v>
      </c>
      <c r="D183" t="s">
        <v>2</v>
      </c>
      <c r="E183" t="s">
        <v>3</v>
      </c>
      <c r="F183" t="s">
        <v>4</v>
      </c>
      <c r="G183" s="1">
        <v>45934</v>
      </c>
      <c r="H183" t="s">
        <v>5</v>
      </c>
      <c r="I183" t="s">
        <v>227</v>
      </c>
      <c r="J183" s="2">
        <v>453834000000</v>
      </c>
      <c r="K183" s="2">
        <v>386767000000</v>
      </c>
      <c r="L183" s="2">
        <v>817000000</v>
      </c>
      <c r="M183" s="2">
        <v>165000000</v>
      </c>
      <c r="N183" s="2">
        <v>237000000</v>
      </c>
    </row>
    <row r="184" spans="1:14" x14ac:dyDescent="0.25">
      <c r="A184">
        <v>111</v>
      </c>
      <c r="B184" t="s">
        <v>18</v>
      </c>
      <c r="C184" t="s">
        <v>22</v>
      </c>
      <c r="D184" t="s">
        <v>2</v>
      </c>
      <c r="E184" t="s">
        <v>3</v>
      </c>
      <c r="F184" t="s">
        <v>4</v>
      </c>
      <c r="G184" s="1">
        <v>45933</v>
      </c>
      <c r="H184" t="s">
        <v>5</v>
      </c>
      <c r="I184" t="s">
        <v>228</v>
      </c>
      <c r="J184" s="2">
        <v>452048000000</v>
      </c>
      <c r="K184" s="2">
        <v>385244000000</v>
      </c>
      <c r="L184" s="2">
        <v>900000000</v>
      </c>
      <c r="M184" s="2">
        <v>265000000</v>
      </c>
      <c r="N184" s="2">
        <v>156000000</v>
      </c>
    </row>
    <row r="185" spans="1:14" x14ac:dyDescent="0.25">
      <c r="A185">
        <v>110</v>
      </c>
      <c r="B185" t="s">
        <v>0</v>
      </c>
      <c r="C185" t="s">
        <v>22</v>
      </c>
      <c r="D185" t="s">
        <v>9</v>
      </c>
      <c r="E185" t="s">
        <v>3</v>
      </c>
      <c r="F185" t="s">
        <v>4</v>
      </c>
      <c r="G185" s="1">
        <v>45929</v>
      </c>
      <c r="H185" t="s">
        <v>36</v>
      </c>
      <c r="I185" t="s">
        <v>229</v>
      </c>
      <c r="J185" s="2">
        <v>11137881000000</v>
      </c>
      <c r="K185" s="2">
        <v>9500835000000</v>
      </c>
      <c r="L185" s="2">
        <v>726000000</v>
      </c>
      <c r="M185" s="2">
        <v>392000000</v>
      </c>
      <c r="N185" s="2">
        <v>291000000</v>
      </c>
    </row>
    <row r="186" spans="1:14" x14ac:dyDescent="0.25">
      <c r="A186">
        <v>109</v>
      </c>
      <c r="B186" t="s">
        <v>15</v>
      </c>
      <c r="C186" t="s">
        <v>22</v>
      </c>
      <c r="D186" t="s">
        <v>9</v>
      </c>
      <c r="E186" t="s">
        <v>3</v>
      </c>
      <c r="F186" t="s">
        <v>4</v>
      </c>
      <c r="G186" s="1">
        <v>45928</v>
      </c>
      <c r="H186" t="s">
        <v>36</v>
      </c>
      <c r="I186" t="s">
        <v>230</v>
      </c>
      <c r="J186" s="2">
        <v>10887925000000</v>
      </c>
      <c r="K186" s="2">
        <v>9328229000000</v>
      </c>
      <c r="L186" s="2">
        <v>721000000</v>
      </c>
      <c r="M186" s="2">
        <v>234000000</v>
      </c>
      <c r="N186" t="s">
        <v>60</v>
      </c>
    </row>
    <row r="187" spans="1:14" x14ac:dyDescent="0.25">
      <c r="A187">
        <v>108</v>
      </c>
      <c r="B187" t="s">
        <v>18</v>
      </c>
      <c r="C187" t="s">
        <v>1</v>
      </c>
      <c r="D187" t="s">
        <v>2</v>
      </c>
      <c r="E187" t="s">
        <v>12</v>
      </c>
      <c r="F187" t="s">
        <v>4</v>
      </c>
      <c r="G187" s="1">
        <v>45924</v>
      </c>
      <c r="H187" t="s">
        <v>5</v>
      </c>
      <c r="I187" t="s">
        <v>231</v>
      </c>
      <c r="J187" s="2">
        <v>418000000000</v>
      </c>
      <c r="K187" s="2">
        <v>355563000000</v>
      </c>
      <c r="L187" s="2">
        <v>225000000</v>
      </c>
      <c r="M187" s="2">
        <v>282000000</v>
      </c>
      <c r="N187" s="2">
        <v>179000000</v>
      </c>
    </row>
    <row r="188" spans="1:14" x14ac:dyDescent="0.25">
      <c r="A188">
        <v>107</v>
      </c>
      <c r="B188" t="s">
        <v>18</v>
      </c>
      <c r="C188" t="s">
        <v>8</v>
      </c>
      <c r="D188" t="s">
        <v>2</v>
      </c>
      <c r="E188" t="s">
        <v>3</v>
      </c>
      <c r="F188" t="s">
        <v>4</v>
      </c>
      <c r="G188" s="1">
        <v>45923</v>
      </c>
      <c r="H188" t="s">
        <v>36</v>
      </c>
      <c r="I188" t="s">
        <v>232</v>
      </c>
      <c r="J188" s="2">
        <v>419128000000</v>
      </c>
      <c r="K188" s="2">
        <v>355404000000</v>
      </c>
      <c r="L188" s="2">
        <v>239000000</v>
      </c>
      <c r="M188" s="2">
        <v>408000000</v>
      </c>
      <c r="N188" s="2">
        <v>288000000</v>
      </c>
    </row>
    <row r="189" spans="1:14" x14ac:dyDescent="0.25">
      <c r="A189">
        <v>106</v>
      </c>
      <c r="B189" t="s">
        <v>0</v>
      </c>
      <c r="C189" t="s">
        <v>22</v>
      </c>
      <c r="D189" t="s">
        <v>2</v>
      </c>
      <c r="E189" t="s">
        <v>12</v>
      </c>
      <c r="F189" t="s">
        <v>4</v>
      </c>
      <c r="G189" s="1">
        <v>45920</v>
      </c>
      <c r="H189" t="s">
        <v>36</v>
      </c>
      <c r="I189" t="s">
        <v>233</v>
      </c>
      <c r="J189" s="2">
        <v>444603000000</v>
      </c>
      <c r="K189" s="2">
        <v>378837000000</v>
      </c>
      <c r="L189" s="2">
        <v>596000000</v>
      </c>
      <c r="M189" s="2">
        <v>268000000</v>
      </c>
      <c r="N189" s="2">
        <v>241000000</v>
      </c>
    </row>
    <row r="190" spans="1:14" x14ac:dyDescent="0.25">
      <c r="A190">
        <v>105</v>
      </c>
      <c r="B190" t="s">
        <v>7</v>
      </c>
      <c r="C190" t="s">
        <v>1</v>
      </c>
      <c r="D190" t="s">
        <v>9</v>
      </c>
      <c r="E190" t="s">
        <v>3</v>
      </c>
      <c r="F190" t="s">
        <v>4</v>
      </c>
      <c r="G190" s="1">
        <v>45912</v>
      </c>
      <c r="H190" t="s">
        <v>5</v>
      </c>
      <c r="I190" t="s">
        <v>234</v>
      </c>
      <c r="J190" s="2">
        <v>11592636000000</v>
      </c>
      <c r="K190" s="2">
        <v>9893039000000</v>
      </c>
      <c r="L190" s="2">
        <v>680000000</v>
      </c>
      <c r="M190" s="2">
        <v>369000000</v>
      </c>
      <c r="N190" s="2">
        <v>161000000</v>
      </c>
    </row>
    <row r="191" spans="1:14" x14ac:dyDescent="0.25">
      <c r="A191">
        <v>104</v>
      </c>
      <c r="B191" t="s">
        <v>15</v>
      </c>
      <c r="C191" t="s">
        <v>1</v>
      </c>
      <c r="D191" t="s">
        <v>9</v>
      </c>
      <c r="E191" t="s">
        <v>3</v>
      </c>
      <c r="F191" t="s">
        <v>4</v>
      </c>
      <c r="G191" s="1">
        <v>45910</v>
      </c>
      <c r="H191" t="s">
        <v>5</v>
      </c>
      <c r="I191" t="s">
        <v>235</v>
      </c>
      <c r="J191" s="2">
        <v>11183584000000</v>
      </c>
      <c r="K191" s="2">
        <v>9552906000000</v>
      </c>
      <c r="L191" s="2">
        <v>350000000</v>
      </c>
      <c r="M191" s="2">
        <v>412000000</v>
      </c>
      <c r="N191" s="2">
        <v>139000000</v>
      </c>
    </row>
    <row r="192" spans="1:14" x14ac:dyDescent="0.25">
      <c r="A192">
        <v>103</v>
      </c>
      <c r="B192" t="s">
        <v>18</v>
      </c>
      <c r="C192" t="s">
        <v>1</v>
      </c>
      <c r="D192" t="s">
        <v>9</v>
      </c>
      <c r="E192" t="s">
        <v>3</v>
      </c>
      <c r="F192" t="s">
        <v>4</v>
      </c>
      <c r="G192" s="1">
        <v>45909</v>
      </c>
      <c r="H192" t="s">
        <v>5</v>
      </c>
      <c r="I192" t="s">
        <v>236</v>
      </c>
      <c r="J192" s="2">
        <v>11305448000000</v>
      </c>
      <c r="K192" s="2">
        <v>9626589000000</v>
      </c>
      <c r="L192" s="2">
        <v>265000000</v>
      </c>
      <c r="M192" s="2">
        <v>386000000</v>
      </c>
      <c r="N192" t="s">
        <v>237</v>
      </c>
    </row>
    <row r="193" spans="1:14" x14ac:dyDescent="0.25">
      <c r="A193">
        <v>102</v>
      </c>
      <c r="B193" t="s">
        <v>18</v>
      </c>
      <c r="C193" t="s">
        <v>8</v>
      </c>
      <c r="D193" t="s">
        <v>2</v>
      </c>
      <c r="E193" t="s">
        <v>12</v>
      </c>
      <c r="F193" t="s">
        <v>4</v>
      </c>
      <c r="G193" s="1">
        <v>45907</v>
      </c>
      <c r="H193" t="s">
        <v>5</v>
      </c>
      <c r="I193" t="s">
        <v>238</v>
      </c>
      <c r="J193" s="2">
        <v>427884000000</v>
      </c>
      <c r="K193" s="2">
        <v>365806000000</v>
      </c>
      <c r="L193" s="2">
        <v>937000000</v>
      </c>
      <c r="M193" s="2">
        <v>372000000</v>
      </c>
      <c r="N193" s="2">
        <v>187000000</v>
      </c>
    </row>
    <row r="194" spans="1:14" x14ac:dyDescent="0.25">
      <c r="A194">
        <v>101</v>
      </c>
      <c r="B194" t="s">
        <v>18</v>
      </c>
      <c r="C194" t="s">
        <v>8</v>
      </c>
      <c r="D194" t="s">
        <v>9</v>
      </c>
      <c r="E194" t="s">
        <v>12</v>
      </c>
      <c r="F194" t="s">
        <v>4</v>
      </c>
      <c r="G194" s="1">
        <v>45904</v>
      </c>
      <c r="H194" t="s">
        <v>5</v>
      </c>
      <c r="I194" t="s">
        <v>239</v>
      </c>
      <c r="J194" s="2">
        <v>11211747000000</v>
      </c>
      <c r="K194" s="2">
        <v>9626294000000</v>
      </c>
      <c r="L194" s="2">
        <v>478000000</v>
      </c>
      <c r="M194" s="2">
        <v>150000000</v>
      </c>
      <c r="N194" s="2">
        <v>190000000</v>
      </c>
    </row>
    <row r="195" spans="1:14" x14ac:dyDescent="0.25">
      <c r="A195">
        <v>100</v>
      </c>
      <c r="B195" t="s">
        <v>11</v>
      </c>
      <c r="C195" t="s">
        <v>8</v>
      </c>
      <c r="D195" t="s">
        <v>2</v>
      </c>
      <c r="E195" t="s">
        <v>3</v>
      </c>
      <c r="F195" t="s">
        <v>4</v>
      </c>
      <c r="G195" s="1">
        <v>45901</v>
      </c>
      <c r="H195" t="s">
        <v>36</v>
      </c>
      <c r="I195" t="s">
        <v>240</v>
      </c>
      <c r="J195" s="2">
        <v>437464000000</v>
      </c>
      <c r="K195" s="2">
        <v>373424000000</v>
      </c>
      <c r="L195" s="2">
        <v>345000000</v>
      </c>
      <c r="M195" s="2">
        <v>156000000</v>
      </c>
      <c r="N195" s="2">
        <v>137000000</v>
      </c>
    </row>
    <row r="196" spans="1:14" x14ac:dyDescent="0.25">
      <c r="A196">
        <v>99</v>
      </c>
      <c r="B196" t="s">
        <v>11</v>
      </c>
      <c r="C196" t="s">
        <v>22</v>
      </c>
      <c r="D196" t="s">
        <v>9</v>
      </c>
      <c r="E196" t="s">
        <v>12</v>
      </c>
      <c r="F196" t="s">
        <v>4</v>
      </c>
      <c r="G196" s="1">
        <v>45900</v>
      </c>
      <c r="H196" t="s">
        <v>36</v>
      </c>
      <c r="I196" t="s">
        <v>241</v>
      </c>
      <c r="J196" s="2">
        <v>10790142000000</v>
      </c>
      <c r="K196" s="2">
        <v>9255568000000</v>
      </c>
      <c r="L196" s="2">
        <v>848000000</v>
      </c>
      <c r="M196" s="2">
        <v>281000000</v>
      </c>
      <c r="N196" s="2">
        <v>244000000</v>
      </c>
    </row>
    <row r="197" spans="1:14" x14ac:dyDescent="0.25">
      <c r="A197">
        <v>98</v>
      </c>
      <c r="B197" t="s">
        <v>7</v>
      </c>
      <c r="C197" t="s">
        <v>1</v>
      </c>
      <c r="D197" t="s">
        <v>2</v>
      </c>
      <c r="E197" t="s">
        <v>12</v>
      </c>
      <c r="F197" t="s">
        <v>4</v>
      </c>
      <c r="G197" s="1">
        <v>45898</v>
      </c>
      <c r="H197" t="s">
        <v>5</v>
      </c>
      <c r="I197" t="s">
        <v>242</v>
      </c>
      <c r="J197" s="2">
        <v>454835000000</v>
      </c>
      <c r="K197" s="2">
        <v>390149000000</v>
      </c>
      <c r="L197" s="2">
        <v>857000000</v>
      </c>
      <c r="M197" s="2">
        <v>236000000</v>
      </c>
      <c r="N197" t="s">
        <v>217</v>
      </c>
    </row>
    <row r="198" spans="1:14" x14ac:dyDescent="0.25">
      <c r="A198">
        <v>97</v>
      </c>
      <c r="B198" t="s">
        <v>11</v>
      </c>
      <c r="C198" t="s">
        <v>22</v>
      </c>
      <c r="D198" t="s">
        <v>2</v>
      </c>
      <c r="E198" t="s">
        <v>12</v>
      </c>
      <c r="F198" t="s">
        <v>4</v>
      </c>
      <c r="G198" s="1">
        <v>45896</v>
      </c>
      <c r="H198" t="s">
        <v>5</v>
      </c>
      <c r="I198" t="s">
        <v>243</v>
      </c>
      <c r="J198" s="2">
        <v>462674000000</v>
      </c>
      <c r="K198" s="2">
        <v>399098000000</v>
      </c>
      <c r="L198" s="2">
        <v>685000000</v>
      </c>
      <c r="M198" s="2">
        <v>351000000</v>
      </c>
      <c r="N198" t="s">
        <v>75</v>
      </c>
    </row>
    <row r="199" spans="1:14" x14ac:dyDescent="0.25">
      <c r="A199">
        <v>96</v>
      </c>
      <c r="B199" t="s">
        <v>0</v>
      </c>
      <c r="C199" t="s">
        <v>1</v>
      </c>
      <c r="D199" t="s">
        <v>2</v>
      </c>
      <c r="E199" t="s">
        <v>12</v>
      </c>
      <c r="F199" t="s">
        <v>4</v>
      </c>
      <c r="G199" s="1">
        <v>45893</v>
      </c>
      <c r="H199" t="s">
        <v>36</v>
      </c>
      <c r="I199" t="s">
        <v>244</v>
      </c>
      <c r="J199" s="2">
        <v>473131000000</v>
      </c>
      <c r="K199" s="2">
        <v>407589000000</v>
      </c>
      <c r="L199" s="2">
        <v>581000000</v>
      </c>
      <c r="M199" s="2">
        <v>449000000</v>
      </c>
      <c r="N199" s="2">
        <v>261000000</v>
      </c>
    </row>
    <row r="200" spans="1:14" x14ac:dyDescent="0.25">
      <c r="A200">
        <v>95</v>
      </c>
      <c r="B200" t="s">
        <v>15</v>
      </c>
      <c r="C200" t="s">
        <v>1</v>
      </c>
      <c r="D200" t="s">
        <v>2</v>
      </c>
      <c r="E200" t="s">
        <v>3</v>
      </c>
      <c r="F200" t="s">
        <v>4</v>
      </c>
      <c r="G200" s="1">
        <v>45891</v>
      </c>
      <c r="H200" t="s">
        <v>5</v>
      </c>
      <c r="I200" t="s">
        <v>245</v>
      </c>
      <c r="J200" s="2">
        <v>424723000000</v>
      </c>
      <c r="K200" s="2">
        <v>365886000000</v>
      </c>
      <c r="L200" s="2">
        <v>947000000</v>
      </c>
      <c r="M200" s="2">
        <v>127000000</v>
      </c>
      <c r="N200" t="s">
        <v>246</v>
      </c>
    </row>
    <row r="201" spans="1:14" x14ac:dyDescent="0.25">
      <c r="A201">
        <v>94</v>
      </c>
      <c r="B201" t="s">
        <v>7</v>
      </c>
      <c r="C201" t="s">
        <v>22</v>
      </c>
      <c r="D201" t="s">
        <v>2</v>
      </c>
      <c r="E201" t="s">
        <v>12</v>
      </c>
      <c r="F201" t="s">
        <v>4</v>
      </c>
      <c r="G201" s="1">
        <v>45890</v>
      </c>
      <c r="H201" t="s">
        <v>5</v>
      </c>
      <c r="I201" t="s">
        <v>247</v>
      </c>
      <c r="J201" s="2">
        <v>434811000000</v>
      </c>
      <c r="K201" s="2">
        <v>373581000000</v>
      </c>
      <c r="L201" s="2">
        <v>560000000</v>
      </c>
      <c r="M201" s="2">
        <v>262000000</v>
      </c>
      <c r="N201" s="2">
        <v>288000000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9406-ACE2-45F4-B24F-0D7FFA7C6F29}">
  <dimension ref="A1:R294"/>
  <sheetViews>
    <sheetView topLeftCell="B1" workbookViewId="0">
      <selection activeCell="P2" sqref="P2"/>
    </sheetView>
  </sheetViews>
  <sheetFormatPr baseColWidth="10" defaultRowHeight="15" x14ac:dyDescent="0.25"/>
  <cols>
    <col min="1" max="1" width="15.85546875" bestFit="1" customWidth="1"/>
    <col min="2" max="6" width="7.28515625" customWidth="1"/>
    <col min="7" max="7" width="17.140625" customWidth="1"/>
    <col min="8" max="8" width="7.28515625" customWidth="1"/>
    <col min="9" max="14" width="10.5703125" customWidth="1"/>
    <col min="15" max="18" width="11.42578125" style="8"/>
  </cols>
  <sheetData>
    <row r="1" spans="1:18" s="7" customFormat="1" ht="45" x14ac:dyDescent="0.25">
      <c r="A1" s="7" t="s">
        <v>563</v>
      </c>
      <c r="B1" s="7" t="s">
        <v>564</v>
      </c>
      <c r="C1" s="7" t="s">
        <v>565</v>
      </c>
      <c r="D1" s="7" t="s">
        <v>566</v>
      </c>
      <c r="E1" s="7" t="s">
        <v>567</v>
      </c>
      <c r="F1" s="7" t="s">
        <v>568</v>
      </c>
      <c r="G1" s="7" t="s">
        <v>569</v>
      </c>
      <c r="H1" s="7" t="s">
        <v>570</v>
      </c>
      <c r="I1" s="7" t="s">
        <v>571</v>
      </c>
      <c r="J1" s="7" t="s">
        <v>572</v>
      </c>
      <c r="K1" s="7" t="s">
        <v>573</v>
      </c>
      <c r="L1" s="7" t="s">
        <v>574</v>
      </c>
      <c r="M1" s="7" t="s">
        <v>575</v>
      </c>
      <c r="N1" s="7" t="s">
        <v>576</v>
      </c>
      <c r="O1" s="12" t="s">
        <v>577</v>
      </c>
      <c r="P1" s="12" t="s">
        <v>264</v>
      </c>
      <c r="Q1" s="12" t="s">
        <v>265</v>
      </c>
      <c r="R1" s="12" t="s">
        <v>266</v>
      </c>
    </row>
    <row r="2" spans="1:18" x14ac:dyDescent="0.25">
      <c r="A2">
        <v>293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10">
        <v>46120</v>
      </c>
      <c r="H2" t="s">
        <v>5</v>
      </c>
      <c r="I2">
        <v>3.0670000000000002</v>
      </c>
      <c r="J2">
        <v>2257.89</v>
      </c>
      <c r="K2">
        <v>1953.7</v>
      </c>
      <c r="L2">
        <v>0.95899999999999996</v>
      </c>
      <c r="M2">
        <v>0.182</v>
      </c>
      <c r="N2">
        <v>0.151</v>
      </c>
      <c r="O2" s="11">
        <f>K:K*I:I</f>
        <v>5991.9979000000003</v>
      </c>
      <c r="P2" s="8" t="e">
        <f>IF(H:H="BUY",#REF!-O:O,O:O-#REF!)</f>
        <v>#REF!</v>
      </c>
      <c r="Q2" s="8" t="e">
        <f>P:P-L:L-M:M</f>
        <v>#REF!</v>
      </c>
      <c r="R2" s="8">
        <f>N:N</f>
        <v>0.151</v>
      </c>
    </row>
    <row r="3" spans="1:18" x14ac:dyDescent="0.25">
      <c r="A3">
        <v>292</v>
      </c>
      <c r="B3" t="s">
        <v>7</v>
      </c>
      <c r="C3" t="s">
        <v>8</v>
      </c>
      <c r="D3" t="s">
        <v>9</v>
      </c>
      <c r="E3" t="s">
        <v>3</v>
      </c>
      <c r="F3" t="s">
        <v>4</v>
      </c>
      <c r="G3" s="10">
        <v>46120</v>
      </c>
      <c r="H3" t="s">
        <v>5</v>
      </c>
      <c r="I3">
        <v>0.10299999999999999</v>
      </c>
      <c r="J3">
        <v>72123.88</v>
      </c>
      <c r="K3">
        <v>62407.35</v>
      </c>
      <c r="L3">
        <v>0.89100000000000001</v>
      </c>
      <c r="M3">
        <v>0.20100000000000001</v>
      </c>
      <c r="N3">
        <v>2.9000000000000001E-2</v>
      </c>
      <c r="O3" s="11">
        <f>K:K*I:I</f>
        <v>6427.9570499999991</v>
      </c>
      <c r="P3" s="8" t="e">
        <f>IF(H:H="BUY",#REF!-O:O,O:O-#REF!)</f>
        <v>#REF!</v>
      </c>
      <c r="Q3" s="8" t="e">
        <f>P:P-L:L-M:M</f>
        <v>#REF!</v>
      </c>
      <c r="R3" s="8">
        <f t="shared" ref="R3:R9" si="0">N:N</f>
        <v>2.9000000000000001E-2</v>
      </c>
    </row>
    <row r="4" spans="1:18" x14ac:dyDescent="0.25">
      <c r="A4">
        <v>291</v>
      </c>
      <c r="B4" t="s">
        <v>11</v>
      </c>
      <c r="C4" t="s">
        <v>8</v>
      </c>
      <c r="D4" t="s">
        <v>2</v>
      </c>
      <c r="E4" t="s">
        <v>12</v>
      </c>
      <c r="F4" t="s">
        <v>4</v>
      </c>
      <c r="G4" s="10">
        <v>46120</v>
      </c>
      <c r="H4" t="s">
        <v>5</v>
      </c>
      <c r="I4">
        <v>2.1579999999999999</v>
      </c>
      <c r="J4">
        <v>2259.9</v>
      </c>
      <c r="K4">
        <v>1955.44</v>
      </c>
      <c r="L4">
        <v>0.58399999999999996</v>
      </c>
      <c r="M4">
        <v>0.40200000000000002</v>
      </c>
      <c r="N4">
        <v>0.161</v>
      </c>
      <c r="O4" s="11">
        <f>K:K*I:I</f>
        <v>4219.8395199999995</v>
      </c>
      <c r="P4" s="8" t="e">
        <f>IF(H:H="BUY",#REF!-O:O,O:O-#REF!)</f>
        <v>#REF!</v>
      </c>
      <c r="Q4" s="8" t="e">
        <f>P:P-L:L-M:M</f>
        <v>#REF!</v>
      </c>
      <c r="R4" s="8">
        <f t="shared" si="0"/>
        <v>0.161</v>
      </c>
    </row>
    <row r="5" spans="1:18" x14ac:dyDescent="0.25">
      <c r="A5">
        <v>290</v>
      </c>
      <c r="B5" t="s">
        <v>0</v>
      </c>
      <c r="C5" t="s">
        <v>8</v>
      </c>
      <c r="D5" t="s">
        <v>9</v>
      </c>
      <c r="E5" t="s">
        <v>12</v>
      </c>
      <c r="F5" t="s">
        <v>4</v>
      </c>
      <c r="G5" s="10">
        <v>46120</v>
      </c>
      <c r="H5" t="s">
        <v>5</v>
      </c>
      <c r="I5">
        <v>0.16800000000000001</v>
      </c>
      <c r="J5">
        <v>72005.55</v>
      </c>
      <c r="K5">
        <v>62304.97</v>
      </c>
      <c r="L5">
        <v>0.73599999999999999</v>
      </c>
      <c r="M5">
        <v>0.189</v>
      </c>
      <c r="N5">
        <v>0.245</v>
      </c>
      <c r="O5" s="11">
        <f>K:K*I:I</f>
        <v>10467.234960000002</v>
      </c>
      <c r="P5" s="8" t="e">
        <f>IF(H:H="BUY",#REF!-O:O,O:O-#REF!)</f>
        <v>#REF!</v>
      </c>
      <c r="Q5" s="8" t="e">
        <f>P:P-L:L-M:M</f>
        <v>#REF!</v>
      </c>
      <c r="R5" s="8">
        <f t="shared" si="0"/>
        <v>0.245</v>
      </c>
    </row>
    <row r="6" spans="1:18" x14ac:dyDescent="0.25">
      <c r="A6">
        <v>289</v>
      </c>
      <c r="B6" t="s">
        <v>15</v>
      </c>
      <c r="C6" t="s">
        <v>1</v>
      </c>
      <c r="D6" t="s">
        <v>2</v>
      </c>
      <c r="E6" t="s">
        <v>12</v>
      </c>
      <c r="F6" t="s">
        <v>4</v>
      </c>
      <c r="G6" s="10">
        <v>46120</v>
      </c>
      <c r="H6" t="s">
        <v>5</v>
      </c>
      <c r="I6">
        <v>2.3239999999999998</v>
      </c>
      <c r="J6">
        <v>2266.6799999999998</v>
      </c>
      <c r="K6">
        <v>1961.31</v>
      </c>
      <c r="L6">
        <v>0.92700000000000005</v>
      </c>
      <c r="M6">
        <v>0.17699999999999999</v>
      </c>
      <c r="N6">
        <v>8.5000000000000006E-2</v>
      </c>
      <c r="O6" s="11">
        <f>K:K*I:I</f>
        <v>4558.0844399999996</v>
      </c>
      <c r="P6" s="8" t="e">
        <f>IF(H:H="BUY",#REF!-O:O,O:O-#REF!)</f>
        <v>#REF!</v>
      </c>
      <c r="Q6" s="8" t="e">
        <f>P:P-L:L-M:M</f>
        <v>#REF!</v>
      </c>
      <c r="R6" s="8">
        <f t="shared" si="0"/>
        <v>8.5000000000000006E-2</v>
      </c>
    </row>
    <row r="7" spans="1:18" x14ac:dyDescent="0.25">
      <c r="A7">
        <v>288</v>
      </c>
      <c r="B7" t="s">
        <v>18</v>
      </c>
      <c r="C7" t="s">
        <v>8</v>
      </c>
      <c r="D7" t="s">
        <v>9</v>
      </c>
      <c r="E7" t="s">
        <v>12</v>
      </c>
      <c r="F7" t="s">
        <v>4</v>
      </c>
      <c r="G7" s="10">
        <v>46120</v>
      </c>
      <c r="H7" t="s">
        <v>5</v>
      </c>
      <c r="I7">
        <v>4.3999999999999997E-2</v>
      </c>
      <c r="J7">
        <v>72281.97</v>
      </c>
      <c r="K7">
        <v>62544.14</v>
      </c>
      <c r="L7">
        <v>3.6999999999999998E-2</v>
      </c>
      <c r="M7">
        <v>0.14899999999999999</v>
      </c>
      <c r="N7">
        <v>4.7E-2</v>
      </c>
      <c r="O7" s="11">
        <f>K:K*I:I</f>
        <v>2751.9421599999996</v>
      </c>
      <c r="P7" s="8" t="e">
        <f>IF(H:H="BUY",#REF!-O:O,O:O-#REF!)</f>
        <v>#REF!</v>
      </c>
      <c r="Q7" s="8" t="e">
        <f>P:P-L:L-M:M</f>
        <v>#REF!</v>
      </c>
      <c r="R7" s="8">
        <f t="shared" si="0"/>
        <v>4.7E-2</v>
      </c>
    </row>
    <row r="8" spans="1:18" x14ac:dyDescent="0.25">
      <c r="A8">
        <v>287</v>
      </c>
      <c r="B8" t="s">
        <v>18</v>
      </c>
      <c r="C8" t="s">
        <v>1</v>
      </c>
      <c r="D8" t="s">
        <v>2</v>
      </c>
      <c r="E8" t="s">
        <v>3</v>
      </c>
      <c r="F8" t="s">
        <v>4</v>
      </c>
      <c r="G8" s="10">
        <v>46120</v>
      </c>
      <c r="H8" t="s">
        <v>5</v>
      </c>
      <c r="I8">
        <v>0.72499999999999998</v>
      </c>
      <c r="J8">
        <v>2263.88</v>
      </c>
      <c r="K8">
        <v>1958.89</v>
      </c>
      <c r="L8">
        <v>0.89800000000000002</v>
      </c>
      <c r="M8">
        <v>0.38300000000000001</v>
      </c>
      <c r="N8">
        <v>8.5000000000000006E-2</v>
      </c>
      <c r="O8" s="11">
        <f>K:K*I:I</f>
        <v>1420.19525</v>
      </c>
      <c r="P8" s="8" t="e">
        <f>IF(H:H="BUY",#REF!-O:O,O:O-#REF!)</f>
        <v>#REF!</v>
      </c>
      <c r="Q8" s="8" t="e">
        <f>P:P-L:L-M:M</f>
        <v>#REF!</v>
      </c>
      <c r="R8" s="8">
        <f t="shared" si="0"/>
        <v>8.5000000000000006E-2</v>
      </c>
    </row>
    <row r="9" spans="1:18" x14ac:dyDescent="0.25">
      <c r="A9">
        <v>286</v>
      </c>
      <c r="B9" t="s">
        <v>7</v>
      </c>
      <c r="C9" t="s">
        <v>22</v>
      </c>
      <c r="D9" t="s">
        <v>9</v>
      </c>
      <c r="E9" t="s">
        <v>3</v>
      </c>
      <c r="F9" t="s">
        <v>4</v>
      </c>
      <c r="G9" s="10">
        <v>46120</v>
      </c>
      <c r="H9" t="s">
        <v>5</v>
      </c>
      <c r="I9">
        <v>0.314</v>
      </c>
      <c r="J9">
        <v>72081.62</v>
      </c>
      <c r="K9">
        <v>62370.79</v>
      </c>
      <c r="L9">
        <v>0.76800000000000002</v>
      </c>
      <c r="M9">
        <v>0.39900000000000002</v>
      </c>
      <c r="N9">
        <v>0.17499999999999999</v>
      </c>
      <c r="O9" s="11">
        <f>K:K*I:I</f>
        <v>19584.428060000002</v>
      </c>
      <c r="P9" s="8" t="e">
        <f>IF(H:H="BUY",#REF!-O:O,O:O-#REF!)</f>
        <v>#REF!</v>
      </c>
      <c r="Q9" s="8" t="e">
        <f>P:P-L:L-M:M</f>
        <v>#REF!</v>
      </c>
      <c r="R9" s="8">
        <f t="shared" si="0"/>
        <v>0.17499999999999999</v>
      </c>
    </row>
    <row r="10" spans="1:18" x14ac:dyDescent="0.25">
      <c r="A10">
        <v>285</v>
      </c>
      <c r="B10" t="s">
        <v>18</v>
      </c>
      <c r="C10" t="s">
        <v>1</v>
      </c>
      <c r="D10" t="s">
        <v>2</v>
      </c>
      <c r="E10" t="s">
        <v>3</v>
      </c>
      <c r="F10" t="s">
        <v>4</v>
      </c>
      <c r="G10" s="10">
        <v>46120</v>
      </c>
      <c r="H10" t="s">
        <v>5</v>
      </c>
      <c r="I10">
        <v>0.71799999999999997</v>
      </c>
      <c r="J10">
        <v>2258.6999999999998</v>
      </c>
      <c r="K10">
        <v>1954.41</v>
      </c>
      <c r="L10">
        <v>0.73899999999999999</v>
      </c>
      <c r="M10">
        <v>0.17599999999999999</v>
      </c>
      <c r="N10">
        <v>0.19800000000000001</v>
      </c>
      <c r="O10" s="11">
        <f>K:K*I:I</f>
        <v>1403.26638</v>
      </c>
      <c r="P10" s="8" t="e">
        <f>IF(H:H="BUY",#REF!-O:O,O:O-#REF!)</f>
        <v>#REF!</v>
      </c>
      <c r="Q10" s="8" t="e">
        <f>P:P-L:L-M:M</f>
        <v>#REF!</v>
      </c>
      <c r="R10" s="8">
        <f t="shared" ref="R10:R30" si="1">N:N</f>
        <v>0.19800000000000001</v>
      </c>
    </row>
    <row r="11" spans="1:18" x14ac:dyDescent="0.25">
      <c r="A11">
        <v>284</v>
      </c>
      <c r="B11" t="s">
        <v>11</v>
      </c>
      <c r="C11" t="s">
        <v>1</v>
      </c>
      <c r="D11" t="s">
        <v>9</v>
      </c>
      <c r="E11" t="s">
        <v>3</v>
      </c>
      <c r="F11" t="s">
        <v>4</v>
      </c>
      <c r="G11" s="10">
        <v>46120</v>
      </c>
      <c r="H11" t="s">
        <v>5</v>
      </c>
      <c r="I11">
        <v>0.33500000000000002</v>
      </c>
      <c r="J11">
        <v>71861.64</v>
      </c>
      <c r="K11">
        <v>62180.44</v>
      </c>
      <c r="L11">
        <v>0.39400000000000002</v>
      </c>
      <c r="M11">
        <v>0.33200000000000002</v>
      </c>
      <c r="N11">
        <v>0.109</v>
      </c>
      <c r="O11" s="11">
        <f>K:K*I:I</f>
        <v>20830.447400000001</v>
      </c>
      <c r="P11" s="8" t="e">
        <f>IF(H:H="BUY",#REF!-O:O,O:O-#REF!)</f>
        <v>#REF!</v>
      </c>
      <c r="Q11" s="8" t="e">
        <f>P:P-L:L-M:M</f>
        <v>#REF!</v>
      </c>
      <c r="R11" s="8">
        <f t="shared" si="1"/>
        <v>0.109</v>
      </c>
    </row>
    <row r="12" spans="1:18" x14ac:dyDescent="0.25">
      <c r="A12">
        <v>283</v>
      </c>
      <c r="B12" t="s">
        <v>26</v>
      </c>
      <c r="C12" t="s">
        <v>8</v>
      </c>
      <c r="D12" t="s">
        <v>2</v>
      </c>
      <c r="E12" t="s">
        <v>12</v>
      </c>
      <c r="F12" t="s">
        <v>4</v>
      </c>
      <c r="G12" s="10">
        <v>46120</v>
      </c>
      <c r="H12" t="s">
        <v>5</v>
      </c>
      <c r="I12">
        <v>3.0169999999999999</v>
      </c>
      <c r="J12">
        <v>2260.0500000000002</v>
      </c>
      <c r="K12">
        <v>1955.58</v>
      </c>
      <c r="L12">
        <v>0.748</v>
      </c>
      <c r="M12">
        <v>0.32700000000000001</v>
      </c>
      <c r="N12">
        <v>0.107</v>
      </c>
      <c r="O12" s="11">
        <f>K:K*I:I</f>
        <v>5899.9848599999996</v>
      </c>
      <c r="P12" s="8" t="e">
        <f>IF(H:H="BUY",#REF!-O:O,O:O-#REF!)</f>
        <v>#REF!</v>
      </c>
      <c r="Q12" s="8" t="e">
        <f>P:P-L:L-M:M</f>
        <v>#REF!</v>
      </c>
      <c r="R12" s="8">
        <f t="shared" si="1"/>
        <v>0.107</v>
      </c>
    </row>
    <row r="13" spans="1:18" x14ac:dyDescent="0.25">
      <c r="A13">
        <v>282</v>
      </c>
      <c r="B13" t="s">
        <v>11</v>
      </c>
      <c r="C13" t="s">
        <v>1</v>
      </c>
      <c r="D13" t="s">
        <v>9</v>
      </c>
      <c r="E13" t="s">
        <v>3</v>
      </c>
      <c r="F13" t="s">
        <v>4</v>
      </c>
      <c r="G13" s="10">
        <v>46120</v>
      </c>
      <c r="H13" t="s">
        <v>5</v>
      </c>
      <c r="I13">
        <v>0.36499999999999999</v>
      </c>
      <c r="J13">
        <v>72256.14</v>
      </c>
      <c r="K13">
        <v>62521.79</v>
      </c>
      <c r="L13">
        <v>0.49099999999999999</v>
      </c>
      <c r="M13">
        <v>0.27600000000000002</v>
      </c>
      <c r="N13">
        <v>0.107</v>
      </c>
      <c r="O13" s="11">
        <f>K:K*I:I</f>
        <v>22820.45335</v>
      </c>
      <c r="P13" s="8" t="e">
        <f>IF(H:H="BUY",#REF!-O:O,O:O-#REF!)</f>
        <v>#REF!</v>
      </c>
      <c r="Q13" s="8" t="e">
        <f>P:P-L:L-M:M</f>
        <v>#REF!</v>
      </c>
      <c r="R13" s="8">
        <f t="shared" si="1"/>
        <v>0.107</v>
      </c>
    </row>
    <row r="14" spans="1:18" x14ac:dyDescent="0.25">
      <c r="A14">
        <v>281</v>
      </c>
      <c r="B14" t="s">
        <v>15</v>
      </c>
      <c r="C14" t="s">
        <v>22</v>
      </c>
      <c r="D14" t="s">
        <v>2</v>
      </c>
      <c r="E14" t="s">
        <v>12</v>
      </c>
      <c r="F14" t="s">
        <v>4</v>
      </c>
      <c r="G14" s="10">
        <v>46120</v>
      </c>
      <c r="H14" t="s">
        <v>5</v>
      </c>
      <c r="I14">
        <v>1.7000000000000001E-2</v>
      </c>
      <c r="J14">
        <v>2265.48</v>
      </c>
      <c r="K14">
        <v>1960.28</v>
      </c>
      <c r="L14">
        <v>0.96399999999999997</v>
      </c>
      <c r="M14">
        <v>0.13200000000000001</v>
      </c>
      <c r="N14">
        <v>0.123</v>
      </c>
      <c r="O14" s="11">
        <f>K:K*I:I</f>
        <v>33.324760000000005</v>
      </c>
      <c r="P14" s="8" t="e">
        <f>IF(H:H="BUY",#REF!-O:O,O:O-#REF!)</f>
        <v>#REF!</v>
      </c>
      <c r="Q14" s="8" t="e">
        <f>P:P-L:L-M:M</f>
        <v>#REF!</v>
      </c>
      <c r="R14" s="8">
        <f t="shared" si="1"/>
        <v>0.123</v>
      </c>
    </row>
    <row r="15" spans="1:18" x14ac:dyDescent="0.25">
      <c r="A15">
        <v>280</v>
      </c>
      <c r="B15" t="s">
        <v>18</v>
      </c>
      <c r="C15" t="s">
        <v>22</v>
      </c>
      <c r="D15" t="s">
        <v>9</v>
      </c>
      <c r="E15" t="s">
        <v>12</v>
      </c>
      <c r="F15" t="s">
        <v>4</v>
      </c>
      <c r="G15" s="10">
        <v>46120</v>
      </c>
      <c r="H15" t="s">
        <v>5</v>
      </c>
      <c r="I15">
        <v>0.308</v>
      </c>
      <c r="J15">
        <v>72154.37</v>
      </c>
      <c r="K15">
        <v>62433.74</v>
      </c>
      <c r="L15">
        <v>0.80900000000000005</v>
      </c>
      <c r="M15">
        <v>0.16300000000000001</v>
      </c>
      <c r="N15">
        <v>1E-3</v>
      </c>
      <c r="O15" s="11">
        <f>K:K*I:I</f>
        <v>19229.591919999999</v>
      </c>
      <c r="P15" s="8" t="e">
        <f>IF(H:H="BUY",#REF!-O:O,O:O-#REF!)</f>
        <v>#REF!</v>
      </c>
      <c r="Q15" s="8" t="e">
        <f>P:P-L:L-M:M</f>
        <v>#REF!</v>
      </c>
      <c r="R15" s="8">
        <f t="shared" si="1"/>
        <v>1E-3</v>
      </c>
    </row>
    <row r="16" spans="1:18" x14ac:dyDescent="0.25">
      <c r="A16">
        <v>279</v>
      </c>
      <c r="B16" t="s">
        <v>7</v>
      </c>
      <c r="C16" t="s">
        <v>1</v>
      </c>
      <c r="D16" t="s">
        <v>2</v>
      </c>
      <c r="E16" t="s">
        <v>12</v>
      </c>
      <c r="F16" t="s">
        <v>4</v>
      </c>
      <c r="G16" s="10">
        <v>46120</v>
      </c>
      <c r="H16" t="s">
        <v>5</v>
      </c>
      <c r="I16">
        <v>3.6230000000000002</v>
      </c>
      <c r="J16">
        <v>2265.31</v>
      </c>
      <c r="K16">
        <v>1960.13</v>
      </c>
      <c r="L16">
        <v>0.45600000000000002</v>
      </c>
      <c r="M16">
        <v>0.30199999999999999</v>
      </c>
      <c r="N16">
        <v>9.4E-2</v>
      </c>
      <c r="O16" s="11">
        <f>K:K*I:I</f>
        <v>7101.5509900000006</v>
      </c>
      <c r="P16" s="8" t="e">
        <f>IF(H:H="BUY",#REF!-O:O,O:O-#REF!)</f>
        <v>#REF!</v>
      </c>
      <c r="Q16" s="8" t="e">
        <f>P:P-L:L-M:M</f>
        <v>#REF!</v>
      </c>
      <c r="R16" s="8">
        <f t="shared" si="1"/>
        <v>9.4E-2</v>
      </c>
    </row>
    <row r="17" spans="1:18" x14ac:dyDescent="0.25">
      <c r="A17">
        <v>278</v>
      </c>
      <c r="B17" t="s">
        <v>26</v>
      </c>
      <c r="C17" t="s">
        <v>8</v>
      </c>
      <c r="D17" t="s">
        <v>9</v>
      </c>
      <c r="E17" t="s">
        <v>3</v>
      </c>
      <c r="F17" t="s">
        <v>4</v>
      </c>
      <c r="G17" s="10">
        <v>46120</v>
      </c>
      <c r="H17" t="s">
        <v>5</v>
      </c>
      <c r="I17">
        <v>0.14599999999999999</v>
      </c>
      <c r="J17">
        <v>72318.429999999993</v>
      </c>
      <c r="K17">
        <v>62575.7</v>
      </c>
      <c r="L17">
        <v>0.96199999999999997</v>
      </c>
      <c r="M17">
        <v>0.35599999999999998</v>
      </c>
      <c r="N17">
        <v>3.2000000000000001E-2</v>
      </c>
      <c r="O17" s="11">
        <f>K:K*I:I</f>
        <v>9136.0521999999983</v>
      </c>
      <c r="P17" s="8" t="e">
        <f>IF(H:H="BUY",#REF!-O:O,O:O-#REF!)</f>
        <v>#REF!</v>
      </c>
      <c r="Q17" s="8" t="e">
        <f>P:P-L:L-M:M</f>
        <v>#REF!</v>
      </c>
      <c r="R17" s="8">
        <f t="shared" si="1"/>
        <v>3.2000000000000001E-2</v>
      </c>
    </row>
    <row r="18" spans="1:18" x14ac:dyDescent="0.25">
      <c r="A18">
        <v>277</v>
      </c>
      <c r="B18" t="s">
        <v>7</v>
      </c>
      <c r="C18" t="s">
        <v>8</v>
      </c>
      <c r="D18" t="s">
        <v>2</v>
      </c>
      <c r="E18" t="s">
        <v>12</v>
      </c>
      <c r="F18" t="s">
        <v>4</v>
      </c>
      <c r="G18" s="10">
        <v>46120</v>
      </c>
      <c r="H18" t="s">
        <v>5</v>
      </c>
      <c r="I18">
        <v>4.6959999999999997</v>
      </c>
      <c r="J18">
        <v>2260.19</v>
      </c>
      <c r="K18">
        <v>1955.7</v>
      </c>
      <c r="L18">
        <v>9.6000000000000002E-2</v>
      </c>
      <c r="M18">
        <v>0.28299999999999997</v>
      </c>
      <c r="N18">
        <v>0.14099999999999999</v>
      </c>
      <c r="O18" s="11">
        <f>K:K*I:I</f>
        <v>9183.9671999999991</v>
      </c>
      <c r="P18" s="8" t="e">
        <f>IF(H:H="BUY",#REF!-O:O,O:O-#REF!)</f>
        <v>#REF!</v>
      </c>
      <c r="Q18" s="8" t="e">
        <f>P:P-L:L-M:M</f>
        <v>#REF!</v>
      </c>
      <c r="R18" s="8">
        <f t="shared" si="1"/>
        <v>0.14099999999999999</v>
      </c>
    </row>
    <row r="19" spans="1:18" x14ac:dyDescent="0.25">
      <c r="A19">
        <v>276</v>
      </c>
      <c r="B19" t="s">
        <v>15</v>
      </c>
      <c r="C19" t="s">
        <v>22</v>
      </c>
      <c r="D19" t="s">
        <v>9</v>
      </c>
      <c r="E19" t="s">
        <v>3</v>
      </c>
      <c r="F19" t="s">
        <v>4</v>
      </c>
      <c r="G19" s="10">
        <v>46120</v>
      </c>
      <c r="H19" t="s">
        <v>36</v>
      </c>
      <c r="I19">
        <v>1.0999999999999999E-2</v>
      </c>
      <c r="J19">
        <v>71467.72</v>
      </c>
      <c r="K19">
        <v>61839.59</v>
      </c>
      <c r="L19">
        <v>0.52500000000000002</v>
      </c>
      <c r="M19">
        <v>0.46600000000000003</v>
      </c>
      <c r="N19">
        <v>0.28100000000000003</v>
      </c>
      <c r="O19" s="11">
        <f>K:K*I:I</f>
        <v>680.23548999999991</v>
      </c>
      <c r="P19" s="8" t="e">
        <f>IF(H:H="BUY",#REF!-O:O,O:O-#REF!)</f>
        <v>#REF!</v>
      </c>
      <c r="Q19" s="8" t="e">
        <f>P:P-L:L-M:M</f>
        <v>#REF!</v>
      </c>
      <c r="R19" s="8">
        <f t="shared" si="1"/>
        <v>0.28100000000000003</v>
      </c>
    </row>
    <row r="20" spans="1:18" x14ac:dyDescent="0.25">
      <c r="A20">
        <v>275</v>
      </c>
      <c r="B20" t="s">
        <v>18</v>
      </c>
      <c r="C20" t="s">
        <v>8</v>
      </c>
      <c r="D20" t="s">
        <v>2</v>
      </c>
      <c r="E20" t="s">
        <v>12</v>
      </c>
      <c r="F20" t="s">
        <v>4</v>
      </c>
      <c r="G20" s="10">
        <v>46120</v>
      </c>
      <c r="H20" t="s">
        <v>5</v>
      </c>
      <c r="I20">
        <v>2.3029999999999999</v>
      </c>
      <c r="J20">
        <v>2273.1799999999998</v>
      </c>
      <c r="K20">
        <v>1966.94</v>
      </c>
      <c r="L20">
        <v>0.53800000000000003</v>
      </c>
      <c r="M20">
        <v>0.11600000000000001</v>
      </c>
      <c r="N20">
        <v>0.29799999999999999</v>
      </c>
      <c r="O20" s="11">
        <f>K:K*I:I</f>
        <v>4529.8628200000003</v>
      </c>
      <c r="P20" s="8" t="e">
        <f>IF(H:H="BUY",#REF!-O:O,O:O-#REF!)</f>
        <v>#REF!</v>
      </c>
      <c r="Q20" s="8" t="e">
        <f>P:P-L:L-M:M</f>
        <v>#REF!</v>
      </c>
      <c r="R20" s="8">
        <f t="shared" si="1"/>
        <v>0.29799999999999999</v>
      </c>
    </row>
    <row r="21" spans="1:18" x14ac:dyDescent="0.25">
      <c r="A21">
        <v>274</v>
      </c>
      <c r="B21" t="s">
        <v>7</v>
      </c>
      <c r="C21" t="s">
        <v>1</v>
      </c>
      <c r="D21" t="s">
        <v>9</v>
      </c>
      <c r="E21" t="s">
        <v>3</v>
      </c>
      <c r="F21" t="s">
        <v>4</v>
      </c>
      <c r="G21" s="10">
        <v>46120</v>
      </c>
      <c r="H21" t="s">
        <v>5</v>
      </c>
      <c r="I21">
        <v>7.0999999999999994E-2</v>
      </c>
      <c r="J21">
        <v>72103.320000000007</v>
      </c>
      <c r="K21">
        <v>62389.56</v>
      </c>
      <c r="L21">
        <v>0.89500000000000002</v>
      </c>
      <c r="M21">
        <v>0.252</v>
      </c>
      <c r="N21">
        <v>0.27500000000000002</v>
      </c>
      <c r="O21" s="11">
        <f>K:K*I:I</f>
        <v>4429.6587599999993</v>
      </c>
      <c r="P21" s="8" t="e">
        <f>IF(H:H="BUY",#REF!-O:O,O:O-#REF!)</f>
        <v>#REF!</v>
      </c>
      <c r="Q21" s="8" t="e">
        <f>P:P-L:L-M:M</f>
        <v>#REF!</v>
      </c>
      <c r="R21" s="8">
        <f t="shared" si="1"/>
        <v>0.27500000000000002</v>
      </c>
    </row>
    <row r="22" spans="1:18" x14ac:dyDescent="0.25">
      <c r="A22">
        <v>273</v>
      </c>
      <c r="B22" t="s">
        <v>18</v>
      </c>
      <c r="C22" t="s">
        <v>1</v>
      </c>
      <c r="D22" t="s">
        <v>2</v>
      </c>
      <c r="E22" t="s">
        <v>3</v>
      </c>
      <c r="F22" t="s">
        <v>4</v>
      </c>
      <c r="G22" s="10">
        <v>46120</v>
      </c>
      <c r="H22" t="s">
        <v>5</v>
      </c>
      <c r="I22">
        <v>2.3319999999999999</v>
      </c>
      <c r="J22">
        <v>2263.3200000000002</v>
      </c>
      <c r="K22">
        <v>1958.41</v>
      </c>
      <c r="L22">
        <v>0.88500000000000001</v>
      </c>
      <c r="M22">
        <v>0.223</v>
      </c>
      <c r="N22">
        <v>0.28399999999999997</v>
      </c>
      <c r="O22" s="11">
        <f>K:K*I:I</f>
        <v>4567.0121200000003</v>
      </c>
      <c r="P22" s="8" t="e">
        <f>IF(H:H="BUY",#REF!-O:O,O:O-#REF!)</f>
        <v>#REF!</v>
      </c>
      <c r="Q22" s="8" t="e">
        <f>P:P-L:L-M:M</f>
        <v>#REF!</v>
      </c>
      <c r="R22" s="8">
        <f t="shared" si="1"/>
        <v>0.28399999999999997</v>
      </c>
    </row>
    <row r="23" spans="1:18" x14ac:dyDescent="0.25">
      <c r="A23">
        <v>272</v>
      </c>
      <c r="B23" t="s">
        <v>15</v>
      </c>
      <c r="C23" t="s">
        <v>22</v>
      </c>
      <c r="D23" t="s">
        <v>9</v>
      </c>
      <c r="E23" t="s">
        <v>12</v>
      </c>
      <c r="F23" t="s">
        <v>4</v>
      </c>
      <c r="G23" s="10">
        <v>46120</v>
      </c>
      <c r="H23" t="s">
        <v>5</v>
      </c>
      <c r="I23">
        <v>0.254</v>
      </c>
      <c r="J23">
        <v>72226.740000000005</v>
      </c>
      <c r="K23">
        <v>62496.35</v>
      </c>
      <c r="L23">
        <v>0.91600000000000004</v>
      </c>
      <c r="M23">
        <v>1.2E-2</v>
      </c>
      <c r="N23">
        <v>9.5000000000000001E-2</v>
      </c>
      <c r="O23" s="11">
        <f>K:K*I:I</f>
        <v>15874.072899999999</v>
      </c>
      <c r="P23" s="8" t="e">
        <f>IF(H:H="BUY",#REF!-O:O,O:O-#REF!)</f>
        <v>#REF!</v>
      </c>
      <c r="Q23" s="8" t="e">
        <f>P:P-L:L-M:M</f>
        <v>#REF!</v>
      </c>
      <c r="R23" s="8">
        <f t="shared" si="1"/>
        <v>9.5000000000000001E-2</v>
      </c>
    </row>
    <row r="24" spans="1:18" x14ac:dyDescent="0.25">
      <c r="A24">
        <v>271</v>
      </c>
      <c r="B24" t="s">
        <v>15</v>
      </c>
      <c r="C24" t="s">
        <v>1</v>
      </c>
      <c r="D24" t="s">
        <v>2</v>
      </c>
      <c r="E24" t="s">
        <v>3</v>
      </c>
      <c r="F24" t="s">
        <v>4</v>
      </c>
      <c r="G24" s="10">
        <v>46120</v>
      </c>
      <c r="H24" t="s">
        <v>5</v>
      </c>
      <c r="I24">
        <v>2.5999999999999999E-2</v>
      </c>
      <c r="J24">
        <v>2271.91</v>
      </c>
      <c r="K24">
        <v>1965.84</v>
      </c>
      <c r="L24">
        <v>0.59599999999999997</v>
      </c>
      <c r="M24">
        <v>0.16300000000000001</v>
      </c>
      <c r="N24">
        <v>0.20200000000000001</v>
      </c>
      <c r="O24" s="11">
        <f>K:K*I:I</f>
        <v>51.111839999999994</v>
      </c>
      <c r="P24" s="8" t="e">
        <f>IF(H:H="BUY",#REF!-O:O,O:O-#REF!)</f>
        <v>#REF!</v>
      </c>
      <c r="Q24" s="8" t="e">
        <f>P:P-L:L-M:M</f>
        <v>#REF!</v>
      </c>
      <c r="R24" s="8">
        <f t="shared" si="1"/>
        <v>0.20200000000000001</v>
      </c>
    </row>
    <row r="25" spans="1:18" x14ac:dyDescent="0.25">
      <c r="A25">
        <v>270</v>
      </c>
      <c r="B25" t="s">
        <v>11</v>
      </c>
      <c r="C25" t="s">
        <v>1</v>
      </c>
      <c r="D25" t="s">
        <v>9</v>
      </c>
      <c r="E25" t="s">
        <v>12</v>
      </c>
      <c r="F25" t="s">
        <v>4</v>
      </c>
      <c r="G25" s="10">
        <v>46120</v>
      </c>
      <c r="H25" t="s">
        <v>5</v>
      </c>
      <c r="I25">
        <v>0.47899999999999998</v>
      </c>
      <c r="J25">
        <v>72034.87</v>
      </c>
      <c r="K25">
        <v>62330.33</v>
      </c>
      <c r="L25">
        <v>0.46899999999999997</v>
      </c>
      <c r="M25">
        <v>0.114</v>
      </c>
      <c r="N25">
        <v>1.7000000000000001E-2</v>
      </c>
      <c r="O25" s="11">
        <f>K:K*I:I</f>
        <v>29856.228070000001</v>
      </c>
      <c r="P25" s="8" t="e">
        <f>IF(H:H="BUY",#REF!-O:O,O:O-#REF!)</f>
        <v>#REF!</v>
      </c>
      <c r="Q25" s="8" t="e">
        <f>P:P-L:L-M:M</f>
        <v>#REF!</v>
      </c>
      <c r="R25" s="8">
        <f t="shared" si="1"/>
        <v>1.7000000000000001E-2</v>
      </c>
    </row>
    <row r="26" spans="1:18" x14ac:dyDescent="0.25">
      <c r="A26">
        <v>269</v>
      </c>
      <c r="B26" t="s">
        <v>7</v>
      </c>
      <c r="C26" t="s">
        <v>1</v>
      </c>
      <c r="D26" t="s">
        <v>2</v>
      </c>
      <c r="E26" t="s">
        <v>3</v>
      </c>
      <c r="F26" t="s">
        <v>4</v>
      </c>
      <c r="G26" s="10">
        <v>46120</v>
      </c>
      <c r="H26" t="s">
        <v>5</v>
      </c>
      <c r="I26">
        <v>4.165</v>
      </c>
      <c r="J26">
        <v>2267.54</v>
      </c>
      <c r="K26">
        <v>1962.06</v>
      </c>
      <c r="L26">
        <v>0.96499999999999997</v>
      </c>
      <c r="M26">
        <v>0.17599999999999999</v>
      </c>
      <c r="N26">
        <v>1.7000000000000001E-2</v>
      </c>
      <c r="O26" s="11">
        <f>K:K*I:I</f>
        <v>8171.9799000000003</v>
      </c>
      <c r="P26" s="8" t="e">
        <f>IF(H:H="BUY",#REF!-O:O,O:O-#REF!)</f>
        <v>#REF!</v>
      </c>
      <c r="Q26" s="8" t="e">
        <f>P:P-L:L-M:M</f>
        <v>#REF!</v>
      </c>
      <c r="R26" s="8">
        <f t="shared" si="1"/>
        <v>1.7000000000000001E-2</v>
      </c>
    </row>
    <row r="27" spans="1:18" x14ac:dyDescent="0.25">
      <c r="A27">
        <v>268</v>
      </c>
      <c r="B27" t="s">
        <v>0</v>
      </c>
      <c r="C27" t="s">
        <v>1</v>
      </c>
      <c r="D27" t="s">
        <v>9</v>
      </c>
      <c r="E27" t="s">
        <v>12</v>
      </c>
      <c r="F27" t="s">
        <v>4</v>
      </c>
      <c r="G27" s="10">
        <v>46120</v>
      </c>
      <c r="H27" t="s">
        <v>5</v>
      </c>
      <c r="I27">
        <v>0.216</v>
      </c>
      <c r="J27">
        <v>71907.97</v>
      </c>
      <c r="K27">
        <v>62220.53</v>
      </c>
      <c r="L27">
        <v>0.30199999999999999</v>
      </c>
      <c r="M27">
        <v>0.17199999999999999</v>
      </c>
      <c r="N27">
        <v>0.29399999999999998</v>
      </c>
      <c r="O27" s="11">
        <f>K:K*I:I</f>
        <v>13439.634479999999</v>
      </c>
      <c r="P27" s="8" t="e">
        <f>IF(H:H="BUY",#REF!-O:O,O:O-#REF!)</f>
        <v>#REF!</v>
      </c>
      <c r="Q27" s="8" t="e">
        <f>P:P-L:L-M:M</f>
        <v>#REF!</v>
      </c>
      <c r="R27" s="8">
        <f t="shared" si="1"/>
        <v>0.29399999999999998</v>
      </c>
    </row>
    <row r="28" spans="1:18" x14ac:dyDescent="0.25">
      <c r="A28">
        <v>267</v>
      </c>
      <c r="B28" t="s">
        <v>11</v>
      </c>
      <c r="C28" t="s">
        <v>1</v>
      </c>
      <c r="D28" t="s">
        <v>2</v>
      </c>
      <c r="E28" t="s">
        <v>12</v>
      </c>
      <c r="F28" t="s">
        <v>4</v>
      </c>
      <c r="G28" s="10">
        <v>46120</v>
      </c>
      <c r="H28" t="s">
        <v>5</v>
      </c>
      <c r="I28">
        <v>3.8010000000000002</v>
      </c>
      <c r="J28">
        <v>2256.92</v>
      </c>
      <c r="K28">
        <v>1952.87</v>
      </c>
      <c r="L28">
        <v>0.73799999999999999</v>
      </c>
      <c r="M28">
        <v>3.0000000000000001E-3</v>
      </c>
      <c r="N28">
        <v>8.8999999999999996E-2</v>
      </c>
      <c r="O28" s="11">
        <f>K:K*I:I</f>
        <v>7422.85887</v>
      </c>
      <c r="P28" s="8" t="e">
        <f>IF(H:H="BUY",#REF!-O:O,O:O-#REF!)</f>
        <v>#REF!</v>
      </c>
      <c r="Q28" s="8" t="e">
        <f>P:P-L:L-M:M</f>
        <v>#REF!</v>
      </c>
      <c r="R28" s="8">
        <f t="shared" si="1"/>
        <v>8.8999999999999996E-2</v>
      </c>
    </row>
    <row r="29" spans="1:18" x14ac:dyDescent="0.25">
      <c r="A29">
        <v>266</v>
      </c>
      <c r="B29" t="s">
        <v>0</v>
      </c>
      <c r="C29" t="s">
        <v>8</v>
      </c>
      <c r="D29" t="s">
        <v>9</v>
      </c>
      <c r="E29" t="s">
        <v>12</v>
      </c>
      <c r="F29" t="s">
        <v>4</v>
      </c>
      <c r="G29" s="10">
        <v>46120</v>
      </c>
      <c r="H29" t="s">
        <v>5</v>
      </c>
      <c r="I29">
        <v>0.45600000000000002</v>
      </c>
      <c r="J29">
        <v>72118.12</v>
      </c>
      <c r="K29">
        <v>62402.37</v>
      </c>
      <c r="L29">
        <v>0.248</v>
      </c>
      <c r="M29">
        <v>0.21099999999999999</v>
      </c>
      <c r="N29">
        <v>0.29799999999999999</v>
      </c>
      <c r="O29" s="11">
        <f>K:K*I:I</f>
        <v>28455.480720000003</v>
      </c>
      <c r="P29" s="8" t="e">
        <f>IF(H:H="BUY",#REF!-O:O,O:O-#REF!)</f>
        <v>#REF!</v>
      </c>
      <c r="Q29" s="8" t="e">
        <f>P:P-L:L-M:M</f>
        <v>#REF!</v>
      </c>
      <c r="R29" s="8">
        <f t="shared" si="1"/>
        <v>0.29799999999999999</v>
      </c>
    </row>
    <row r="30" spans="1:18" x14ac:dyDescent="0.25">
      <c r="A30">
        <v>265</v>
      </c>
      <c r="B30" t="s">
        <v>11</v>
      </c>
      <c r="C30" t="s">
        <v>22</v>
      </c>
      <c r="D30" t="s">
        <v>2</v>
      </c>
      <c r="E30" t="s">
        <v>12</v>
      </c>
      <c r="F30" t="s">
        <v>4</v>
      </c>
      <c r="G30" s="10">
        <v>46120</v>
      </c>
      <c r="H30" t="s">
        <v>5</v>
      </c>
      <c r="I30">
        <v>3.3370000000000002</v>
      </c>
      <c r="J30">
        <v>2252.81</v>
      </c>
      <c r="K30">
        <v>1949.32</v>
      </c>
      <c r="L30">
        <v>0.996</v>
      </c>
      <c r="M30">
        <v>0.11899999999999999</v>
      </c>
      <c r="N30">
        <v>1.2999999999999999E-2</v>
      </c>
      <c r="O30" s="11">
        <f>K:K*I:I</f>
        <v>6504.8808399999998</v>
      </c>
      <c r="P30" s="8" t="e">
        <f>IF(H:H="BUY",#REF!-O:O,O:O-#REF!)</f>
        <v>#REF!</v>
      </c>
      <c r="Q30" s="8" t="e">
        <f>P:P-L:L-M:M</f>
        <v>#REF!</v>
      </c>
      <c r="R30" s="8">
        <f t="shared" si="1"/>
        <v>1.2999999999999999E-2</v>
      </c>
    </row>
    <row r="31" spans="1:18" x14ac:dyDescent="0.25">
      <c r="A31">
        <v>264</v>
      </c>
      <c r="B31" t="s">
        <v>15</v>
      </c>
      <c r="C31" t="s">
        <v>8</v>
      </c>
      <c r="D31" t="s">
        <v>9</v>
      </c>
      <c r="E31" t="s">
        <v>3</v>
      </c>
      <c r="F31" t="s">
        <v>4</v>
      </c>
      <c r="G31" s="10">
        <v>46120</v>
      </c>
      <c r="H31" t="s">
        <v>5</v>
      </c>
      <c r="I31">
        <v>0.159</v>
      </c>
      <c r="J31">
        <v>71917.64</v>
      </c>
      <c r="K31">
        <v>62228.89</v>
      </c>
      <c r="L31">
        <v>0.45400000000000001</v>
      </c>
      <c r="M31">
        <v>0.248</v>
      </c>
      <c r="N31">
        <v>0.127</v>
      </c>
    </row>
    <row r="32" spans="1:18" x14ac:dyDescent="0.25">
      <c r="A32">
        <v>263</v>
      </c>
      <c r="B32" t="s">
        <v>18</v>
      </c>
      <c r="C32" t="s">
        <v>22</v>
      </c>
      <c r="D32" t="s">
        <v>2</v>
      </c>
      <c r="E32" t="s">
        <v>3</v>
      </c>
      <c r="F32" t="s">
        <v>4</v>
      </c>
      <c r="G32" s="10">
        <v>46120</v>
      </c>
      <c r="H32" t="s">
        <v>5</v>
      </c>
      <c r="I32">
        <v>4.5629999999999997</v>
      </c>
      <c r="J32">
        <v>2265.69</v>
      </c>
      <c r="K32">
        <v>1960.46</v>
      </c>
      <c r="L32">
        <v>0.64800000000000002</v>
      </c>
      <c r="M32">
        <v>0.439</v>
      </c>
      <c r="N32">
        <v>3.9E-2</v>
      </c>
    </row>
    <row r="33" spans="1:14" x14ac:dyDescent="0.25">
      <c r="A33">
        <v>262</v>
      </c>
      <c r="B33" t="s">
        <v>11</v>
      </c>
      <c r="C33" t="s">
        <v>1</v>
      </c>
      <c r="D33" t="s">
        <v>9</v>
      </c>
      <c r="E33" t="s">
        <v>3</v>
      </c>
      <c r="F33" t="s">
        <v>4</v>
      </c>
      <c r="G33" s="10">
        <v>46120</v>
      </c>
      <c r="H33" t="s">
        <v>36</v>
      </c>
      <c r="I33">
        <v>3.4000000000000002E-2</v>
      </c>
      <c r="J33">
        <v>71393.27</v>
      </c>
      <c r="K33">
        <v>61775.17</v>
      </c>
      <c r="L33">
        <v>0.83299999999999996</v>
      </c>
      <c r="M33">
        <v>0.432</v>
      </c>
      <c r="N33">
        <v>0.129</v>
      </c>
    </row>
    <row r="34" spans="1:14" x14ac:dyDescent="0.25">
      <c r="A34">
        <v>261</v>
      </c>
      <c r="B34" t="s">
        <v>11</v>
      </c>
      <c r="C34" t="s">
        <v>22</v>
      </c>
      <c r="D34" t="s">
        <v>2</v>
      </c>
      <c r="E34" t="s">
        <v>12</v>
      </c>
      <c r="F34" t="s">
        <v>4</v>
      </c>
      <c r="G34" s="10">
        <v>46120</v>
      </c>
      <c r="H34" t="s">
        <v>5</v>
      </c>
      <c r="I34">
        <v>2.7509999999999999</v>
      </c>
      <c r="J34">
        <v>2274.6799999999998</v>
      </c>
      <c r="K34">
        <v>1968.24</v>
      </c>
      <c r="L34">
        <v>0.66200000000000003</v>
      </c>
      <c r="M34">
        <v>0.47299999999999998</v>
      </c>
      <c r="N34">
        <v>0.252</v>
      </c>
    </row>
    <row r="35" spans="1:14" x14ac:dyDescent="0.25">
      <c r="A35">
        <v>260</v>
      </c>
      <c r="B35" t="s">
        <v>26</v>
      </c>
      <c r="C35" t="s">
        <v>1</v>
      </c>
      <c r="D35" t="s">
        <v>9</v>
      </c>
      <c r="E35" t="s">
        <v>3</v>
      </c>
      <c r="F35" t="s">
        <v>4</v>
      </c>
      <c r="G35" s="10">
        <v>46120</v>
      </c>
      <c r="H35" t="s">
        <v>5</v>
      </c>
      <c r="I35">
        <v>0.28899999999999998</v>
      </c>
      <c r="J35">
        <v>71880.960000000006</v>
      </c>
      <c r="K35">
        <v>62197.16</v>
      </c>
      <c r="L35">
        <v>0.57299999999999995</v>
      </c>
      <c r="M35">
        <v>0.41699999999999998</v>
      </c>
      <c r="N35">
        <v>0.29299999999999998</v>
      </c>
    </row>
    <row r="36" spans="1:14" x14ac:dyDescent="0.25">
      <c r="A36">
        <v>259</v>
      </c>
      <c r="B36" t="s">
        <v>18</v>
      </c>
      <c r="C36" t="s">
        <v>8</v>
      </c>
      <c r="D36" t="s">
        <v>2</v>
      </c>
      <c r="E36" t="s">
        <v>12</v>
      </c>
      <c r="F36" t="s">
        <v>4</v>
      </c>
      <c r="G36" s="10">
        <v>46120</v>
      </c>
      <c r="H36" t="s">
        <v>36</v>
      </c>
      <c r="I36">
        <v>0.19700000000000001</v>
      </c>
      <c r="J36">
        <v>2231.69</v>
      </c>
      <c r="K36">
        <v>1931.04</v>
      </c>
      <c r="L36">
        <v>0.94899999999999995</v>
      </c>
      <c r="M36">
        <v>1.4E-2</v>
      </c>
      <c r="N36">
        <v>6.4000000000000001E-2</v>
      </c>
    </row>
    <row r="37" spans="1:14" x14ac:dyDescent="0.25">
      <c r="A37">
        <v>258</v>
      </c>
      <c r="B37" t="s">
        <v>18</v>
      </c>
      <c r="C37" t="s">
        <v>1</v>
      </c>
      <c r="D37" t="s">
        <v>9</v>
      </c>
      <c r="E37" t="s">
        <v>3</v>
      </c>
      <c r="F37" t="s">
        <v>4</v>
      </c>
      <c r="G37" s="10">
        <v>46120</v>
      </c>
      <c r="H37" t="s">
        <v>5</v>
      </c>
      <c r="I37">
        <v>0.38200000000000001</v>
      </c>
      <c r="J37">
        <v>71837.64</v>
      </c>
      <c r="K37">
        <v>62159.67</v>
      </c>
      <c r="L37">
        <v>0.439</v>
      </c>
      <c r="M37">
        <v>0.32800000000000001</v>
      </c>
      <c r="N37">
        <v>0.29599999999999999</v>
      </c>
    </row>
    <row r="38" spans="1:14" x14ac:dyDescent="0.25">
      <c r="A38">
        <v>257</v>
      </c>
      <c r="B38" t="s">
        <v>18</v>
      </c>
      <c r="C38" t="s">
        <v>8</v>
      </c>
      <c r="D38" t="s">
        <v>2</v>
      </c>
      <c r="E38" t="s">
        <v>3</v>
      </c>
      <c r="F38" t="s">
        <v>4</v>
      </c>
      <c r="G38" s="10">
        <v>46120</v>
      </c>
      <c r="H38" t="s">
        <v>5</v>
      </c>
      <c r="I38">
        <v>2.6280000000000001</v>
      </c>
      <c r="J38">
        <v>2264.4699999999998</v>
      </c>
      <c r="K38">
        <v>1959.4</v>
      </c>
      <c r="L38">
        <v>0.44700000000000001</v>
      </c>
      <c r="M38">
        <v>0.11799999999999999</v>
      </c>
      <c r="N38">
        <v>0.251</v>
      </c>
    </row>
    <row r="39" spans="1:14" x14ac:dyDescent="0.25">
      <c r="A39">
        <v>256</v>
      </c>
      <c r="B39" t="s">
        <v>18</v>
      </c>
      <c r="C39" t="s">
        <v>22</v>
      </c>
      <c r="D39" t="s">
        <v>9</v>
      </c>
      <c r="E39" t="s">
        <v>12</v>
      </c>
      <c r="F39" t="s">
        <v>4</v>
      </c>
      <c r="G39" s="10">
        <v>46120</v>
      </c>
      <c r="H39" t="s">
        <v>5</v>
      </c>
      <c r="I39">
        <v>1.6E-2</v>
      </c>
      <c r="J39">
        <v>71777.320000000007</v>
      </c>
      <c r="K39">
        <v>62107.48</v>
      </c>
      <c r="L39">
        <v>9.6000000000000002E-2</v>
      </c>
      <c r="M39">
        <v>0.20599999999999999</v>
      </c>
      <c r="N39">
        <v>4.0000000000000001E-3</v>
      </c>
    </row>
    <row r="40" spans="1:14" x14ac:dyDescent="0.25">
      <c r="A40">
        <v>255</v>
      </c>
      <c r="B40" t="s">
        <v>7</v>
      </c>
      <c r="C40" t="s">
        <v>1</v>
      </c>
      <c r="D40" t="s">
        <v>2</v>
      </c>
      <c r="E40" t="s">
        <v>12</v>
      </c>
      <c r="F40" t="s">
        <v>4</v>
      </c>
      <c r="G40" s="10">
        <v>46120</v>
      </c>
      <c r="H40" t="s">
        <v>5</v>
      </c>
      <c r="I40">
        <v>0.317</v>
      </c>
      <c r="J40">
        <v>2256.5500000000002</v>
      </c>
      <c r="K40">
        <v>1952.55</v>
      </c>
      <c r="L40">
        <v>0.93300000000000005</v>
      </c>
      <c r="M40">
        <v>0.47599999999999998</v>
      </c>
      <c r="N40">
        <v>6.9000000000000006E-2</v>
      </c>
    </row>
    <row r="41" spans="1:14" x14ac:dyDescent="0.25">
      <c r="A41">
        <v>254</v>
      </c>
      <c r="B41" t="s">
        <v>7</v>
      </c>
      <c r="C41" t="s">
        <v>1</v>
      </c>
      <c r="D41" t="s">
        <v>9</v>
      </c>
      <c r="E41" t="s">
        <v>3</v>
      </c>
      <c r="F41" t="s">
        <v>4</v>
      </c>
      <c r="G41" s="10">
        <v>46120</v>
      </c>
      <c r="H41" t="s">
        <v>5</v>
      </c>
      <c r="I41">
        <v>2.1999999999999999E-2</v>
      </c>
      <c r="J41">
        <v>72071.14</v>
      </c>
      <c r="K41">
        <v>62361.72</v>
      </c>
      <c r="L41">
        <v>0.747</v>
      </c>
      <c r="M41">
        <v>0.24399999999999999</v>
      </c>
      <c r="N41">
        <v>2.3E-2</v>
      </c>
    </row>
    <row r="42" spans="1:14" x14ac:dyDescent="0.25">
      <c r="A42">
        <v>253</v>
      </c>
      <c r="B42" t="s">
        <v>7</v>
      </c>
      <c r="C42" t="s">
        <v>8</v>
      </c>
      <c r="D42" t="s">
        <v>2</v>
      </c>
      <c r="E42" t="s">
        <v>3</v>
      </c>
      <c r="F42" t="s">
        <v>4</v>
      </c>
      <c r="G42" s="10">
        <v>46120</v>
      </c>
      <c r="H42" t="s">
        <v>5</v>
      </c>
      <c r="I42">
        <v>1.756</v>
      </c>
      <c r="J42">
        <v>2245.96</v>
      </c>
      <c r="K42">
        <v>1943.39</v>
      </c>
      <c r="L42">
        <v>0.77500000000000002</v>
      </c>
      <c r="M42">
        <v>0.26600000000000001</v>
      </c>
      <c r="N42">
        <v>9.0999999999999998E-2</v>
      </c>
    </row>
    <row r="43" spans="1:14" x14ac:dyDescent="0.25">
      <c r="A43">
        <v>252</v>
      </c>
      <c r="B43" t="s">
        <v>11</v>
      </c>
      <c r="C43" t="s">
        <v>1</v>
      </c>
      <c r="D43" t="s">
        <v>9</v>
      </c>
      <c r="E43" t="s">
        <v>12</v>
      </c>
      <c r="F43" t="s">
        <v>4</v>
      </c>
      <c r="G43" s="10">
        <v>46120</v>
      </c>
      <c r="H43" t="s">
        <v>5</v>
      </c>
      <c r="I43">
        <v>5.2999999999999999E-2</v>
      </c>
      <c r="J43">
        <v>71896.86</v>
      </c>
      <c r="K43">
        <v>62210.91</v>
      </c>
      <c r="L43">
        <v>0.94199999999999995</v>
      </c>
      <c r="M43">
        <v>0.255</v>
      </c>
      <c r="N43">
        <v>0.108</v>
      </c>
    </row>
    <row r="44" spans="1:14" x14ac:dyDescent="0.25">
      <c r="A44">
        <v>251</v>
      </c>
      <c r="B44" t="s">
        <v>7</v>
      </c>
      <c r="C44" t="s">
        <v>1</v>
      </c>
      <c r="D44" t="s">
        <v>2</v>
      </c>
      <c r="E44" t="s">
        <v>3</v>
      </c>
      <c r="F44" t="s">
        <v>4</v>
      </c>
      <c r="G44" s="10">
        <v>46120</v>
      </c>
      <c r="H44" t="s">
        <v>5</v>
      </c>
      <c r="I44">
        <v>0.64800000000000002</v>
      </c>
      <c r="J44">
        <v>2257.39</v>
      </c>
      <c r="K44">
        <v>1953.28</v>
      </c>
      <c r="L44">
        <v>0.54400000000000004</v>
      </c>
      <c r="M44">
        <v>0.224</v>
      </c>
      <c r="N44">
        <v>0.16700000000000001</v>
      </c>
    </row>
    <row r="45" spans="1:14" x14ac:dyDescent="0.25">
      <c r="A45">
        <v>250</v>
      </c>
      <c r="B45" t="s">
        <v>0</v>
      </c>
      <c r="C45" t="s">
        <v>22</v>
      </c>
      <c r="D45" t="s">
        <v>9</v>
      </c>
      <c r="E45" t="s">
        <v>12</v>
      </c>
      <c r="F45" t="s">
        <v>4</v>
      </c>
      <c r="G45" s="10">
        <v>46120</v>
      </c>
      <c r="H45" t="s">
        <v>5</v>
      </c>
      <c r="I45">
        <v>0.128</v>
      </c>
      <c r="J45">
        <v>72211.22</v>
      </c>
      <c r="K45">
        <v>62482.92</v>
      </c>
      <c r="L45">
        <v>4.0000000000000001E-3</v>
      </c>
      <c r="M45">
        <v>0.20100000000000001</v>
      </c>
      <c r="N45">
        <v>0.125</v>
      </c>
    </row>
    <row r="46" spans="1:14" x14ac:dyDescent="0.25">
      <c r="A46">
        <v>249</v>
      </c>
      <c r="B46" t="s">
        <v>0</v>
      </c>
      <c r="C46" t="s">
        <v>22</v>
      </c>
      <c r="D46" t="s">
        <v>2</v>
      </c>
      <c r="E46" t="s">
        <v>3</v>
      </c>
      <c r="F46" t="s">
        <v>4</v>
      </c>
      <c r="G46" s="10">
        <v>46120</v>
      </c>
      <c r="H46" t="s">
        <v>5</v>
      </c>
      <c r="I46">
        <v>4.4340000000000002</v>
      </c>
      <c r="J46">
        <v>2266.48</v>
      </c>
      <c r="K46">
        <v>1961.14</v>
      </c>
      <c r="L46">
        <v>0.69099999999999995</v>
      </c>
      <c r="M46">
        <v>0.41499999999999998</v>
      </c>
      <c r="N46">
        <v>9.5000000000000001E-2</v>
      </c>
    </row>
    <row r="47" spans="1:14" x14ac:dyDescent="0.25">
      <c r="A47">
        <v>248</v>
      </c>
      <c r="B47" t="s">
        <v>18</v>
      </c>
      <c r="C47" t="s">
        <v>1</v>
      </c>
      <c r="D47" t="s">
        <v>9</v>
      </c>
      <c r="E47" t="s">
        <v>12</v>
      </c>
      <c r="F47" t="s">
        <v>4</v>
      </c>
      <c r="G47" s="10">
        <v>46120</v>
      </c>
      <c r="H47" t="s">
        <v>5</v>
      </c>
      <c r="I47">
        <v>0.24399999999999999</v>
      </c>
      <c r="J47">
        <v>71831.66</v>
      </c>
      <c r="K47">
        <v>62154.5</v>
      </c>
      <c r="L47">
        <v>0.502</v>
      </c>
      <c r="M47">
        <v>0.36399999999999999</v>
      </c>
      <c r="N47">
        <v>3.7999999999999999E-2</v>
      </c>
    </row>
    <row r="48" spans="1:14" x14ac:dyDescent="0.25">
      <c r="A48">
        <v>247</v>
      </c>
      <c r="B48" t="s">
        <v>18</v>
      </c>
      <c r="C48" t="s">
        <v>22</v>
      </c>
      <c r="D48" t="s">
        <v>2</v>
      </c>
      <c r="E48" t="s">
        <v>12</v>
      </c>
      <c r="F48" t="s">
        <v>4</v>
      </c>
      <c r="G48" s="10">
        <v>46120</v>
      </c>
      <c r="H48" t="s">
        <v>5</v>
      </c>
      <c r="I48">
        <v>2.4569999999999999</v>
      </c>
      <c r="J48">
        <v>2264.7199999999998</v>
      </c>
      <c r="K48">
        <v>1959.62</v>
      </c>
      <c r="L48">
        <v>0.97799999999999998</v>
      </c>
      <c r="M48">
        <v>0.45200000000000001</v>
      </c>
      <c r="N48">
        <v>0.13700000000000001</v>
      </c>
    </row>
    <row r="49" spans="1:14" x14ac:dyDescent="0.25">
      <c r="A49">
        <v>246</v>
      </c>
      <c r="B49" t="s">
        <v>0</v>
      </c>
      <c r="C49" t="s">
        <v>22</v>
      </c>
      <c r="D49" t="s">
        <v>9</v>
      </c>
      <c r="E49" t="s">
        <v>3</v>
      </c>
      <c r="F49" t="s">
        <v>4</v>
      </c>
      <c r="G49" s="10">
        <v>46120</v>
      </c>
      <c r="H49" t="s">
        <v>5</v>
      </c>
      <c r="I49">
        <v>0.38500000000000001</v>
      </c>
      <c r="J49">
        <v>72176.86</v>
      </c>
      <c r="K49">
        <v>62453.19</v>
      </c>
      <c r="L49">
        <v>0.58499999999999996</v>
      </c>
      <c r="M49">
        <v>0.46100000000000002</v>
      </c>
      <c r="N49">
        <v>0.183</v>
      </c>
    </row>
    <row r="50" spans="1:14" x14ac:dyDescent="0.25">
      <c r="A50">
        <v>245</v>
      </c>
      <c r="B50" t="s">
        <v>18</v>
      </c>
      <c r="C50" t="s">
        <v>8</v>
      </c>
      <c r="D50" t="s">
        <v>2</v>
      </c>
      <c r="E50" t="s">
        <v>12</v>
      </c>
      <c r="F50" t="s">
        <v>4</v>
      </c>
      <c r="G50" s="10">
        <v>46120</v>
      </c>
      <c r="H50" t="s">
        <v>5</v>
      </c>
      <c r="I50">
        <v>3.282</v>
      </c>
      <c r="J50">
        <v>2257.83</v>
      </c>
      <c r="K50">
        <v>1953.66</v>
      </c>
      <c r="L50">
        <v>0.93899999999999995</v>
      </c>
      <c r="M50">
        <v>0.17799999999999999</v>
      </c>
      <c r="N50">
        <v>0.16900000000000001</v>
      </c>
    </row>
    <row r="51" spans="1:14" x14ac:dyDescent="0.25">
      <c r="A51">
        <v>244</v>
      </c>
      <c r="B51" t="s">
        <v>7</v>
      </c>
      <c r="C51" t="s">
        <v>1</v>
      </c>
      <c r="D51" t="s">
        <v>9</v>
      </c>
      <c r="E51" t="s">
        <v>3</v>
      </c>
      <c r="F51" t="s">
        <v>4</v>
      </c>
      <c r="G51" s="10">
        <v>46120</v>
      </c>
      <c r="H51" t="s">
        <v>5</v>
      </c>
      <c r="I51">
        <v>0.124</v>
      </c>
      <c r="J51">
        <v>72022.05</v>
      </c>
      <c r="K51">
        <v>62319.24</v>
      </c>
      <c r="L51">
        <v>0.22700000000000001</v>
      </c>
      <c r="M51">
        <v>1.4999999999999999E-2</v>
      </c>
      <c r="N51">
        <v>0.17100000000000001</v>
      </c>
    </row>
    <row r="52" spans="1:14" x14ac:dyDescent="0.25">
      <c r="A52">
        <v>243</v>
      </c>
      <c r="B52" t="s">
        <v>15</v>
      </c>
      <c r="C52" t="s">
        <v>22</v>
      </c>
      <c r="D52" t="s">
        <v>2</v>
      </c>
      <c r="E52" t="s">
        <v>12</v>
      </c>
      <c r="F52" t="s">
        <v>4</v>
      </c>
      <c r="G52" s="10">
        <v>46120</v>
      </c>
      <c r="H52" t="s">
        <v>5</v>
      </c>
      <c r="I52">
        <v>0.70199999999999996</v>
      </c>
      <c r="J52">
        <v>2250.7800000000002</v>
      </c>
      <c r="K52">
        <v>1947.55</v>
      </c>
      <c r="L52">
        <v>0.58399999999999996</v>
      </c>
      <c r="M52">
        <v>0.17499999999999999</v>
      </c>
      <c r="N52">
        <v>1E-3</v>
      </c>
    </row>
    <row r="53" spans="1:14" x14ac:dyDescent="0.25">
      <c r="A53">
        <v>242</v>
      </c>
      <c r="B53" t="s">
        <v>0</v>
      </c>
      <c r="C53" t="s">
        <v>8</v>
      </c>
      <c r="D53" t="s">
        <v>9</v>
      </c>
      <c r="E53" t="s">
        <v>3</v>
      </c>
      <c r="F53" t="s">
        <v>4</v>
      </c>
      <c r="G53" s="10">
        <v>46120</v>
      </c>
      <c r="H53" t="s">
        <v>5</v>
      </c>
      <c r="I53">
        <v>0.27500000000000002</v>
      </c>
      <c r="J53">
        <v>71910.55</v>
      </c>
      <c r="K53">
        <v>62222.76</v>
      </c>
      <c r="L53">
        <v>0.35599999999999998</v>
      </c>
      <c r="M53">
        <v>0.34899999999999998</v>
      </c>
      <c r="N53">
        <v>0.28100000000000003</v>
      </c>
    </row>
    <row r="54" spans="1:14" x14ac:dyDescent="0.25">
      <c r="A54">
        <v>241</v>
      </c>
      <c r="B54" t="s">
        <v>15</v>
      </c>
      <c r="C54" t="s">
        <v>1</v>
      </c>
      <c r="D54" t="s">
        <v>2</v>
      </c>
      <c r="E54" t="s">
        <v>3</v>
      </c>
      <c r="F54" t="s">
        <v>4</v>
      </c>
      <c r="G54" s="10">
        <v>46120</v>
      </c>
      <c r="H54" t="s">
        <v>5</v>
      </c>
      <c r="I54">
        <v>2.903</v>
      </c>
      <c r="J54">
        <v>2274.0100000000002</v>
      </c>
      <c r="K54">
        <v>1967.65</v>
      </c>
      <c r="L54">
        <v>0.71399999999999997</v>
      </c>
      <c r="M54">
        <v>0.47099999999999997</v>
      </c>
      <c r="N54">
        <v>0.123</v>
      </c>
    </row>
    <row r="55" spans="1:14" x14ac:dyDescent="0.25">
      <c r="A55">
        <v>240</v>
      </c>
      <c r="B55" t="s">
        <v>15</v>
      </c>
      <c r="C55" t="s">
        <v>1</v>
      </c>
      <c r="D55" t="s">
        <v>9</v>
      </c>
      <c r="E55" t="s">
        <v>12</v>
      </c>
      <c r="F55" t="s">
        <v>4</v>
      </c>
      <c r="G55" s="10">
        <v>46120</v>
      </c>
      <c r="H55" t="s">
        <v>5</v>
      </c>
      <c r="I55">
        <v>0.13300000000000001</v>
      </c>
      <c r="J55">
        <v>72259.12</v>
      </c>
      <c r="K55">
        <v>62524.37</v>
      </c>
      <c r="L55">
        <v>0.95599999999999996</v>
      </c>
      <c r="M55">
        <v>0.432</v>
      </c>
      <c r="N55">
        <v>2.4E-2</v>
      </c>
    </row>
    <row r="56" spans="1:14" x14ac:dyDescent="0.25">
      <c r="A56">
        <v>239</v>
      </c>
      <c r="B56" t="s">
        <v>15</v>
      </c>
      <c r="C56" t="s">
        <v>22</v>
      </c>
      <c r="D56" t="s">
        <v>2</v>
      </c>
      <c r="E56" t="s">
        <v>12</v>
      </c>
      <c r="F56" t="s">
        <v>4</v>
      </c>
      <c r="G56" s="10">
        <v>46120</v>
      </c>
      <c r="H56" t="s">
        <v>5</v>
      </c>
      <c r="I56">
        <v>4.6589999999999998</v>
      </c>
      <c r="J56">
        <v>2270.13</v>
      </c>
      <c r="K56">
        <v>1964.3</v>
      </c>
      <c r="L56">
        <v>0.48799999999999999</v>
      </c>
      <c r="M56">
        <v>0.255</v>
      </c>
      <c r="N56">
        <v>0.22800000000000001</v>
      </c>
    </row>
    <row r="57" spans="1:14" x14ac:dyDescent="0.25">
      <c r="A57">
        <v>238</v>
      </c>
      <c r="B57" t="s">
        <v>7</v>
      </c>
      <c r="C57" t="s">
        <v>22</v>
      </c>
      <c r="D57" t="s">
        <v>9</v>
      </c>
      <c r="E57" t="s">
        <v>12</v>
      </c>
      <c r="F57" t="s">
        <v>4</v>
      </c>
      <c r="G57" s="10">
        <v>46120</v>
      </c>
      <c r="H57" t="s">
        <v>5</v>
      </c>
      <c r="I57">
        <v>7.1999999999999995E-2</v>
      </c>
      <c r="J57">
        <v>72351.19</v>
      </c>
      <c r="K57">
        <v>62604.03</v>
      </c>
      <c r="L57">
        <v>0.45400000000000001</v>
      </c>
      <c r="M57">
        <v>0.41699999999999998</v>
      </c>
      <c r="N57">
        <v>0.23899999999999999</v>
      </c>
    </row>
    <row r="58" spans="1:14" x14ac:dyDescent="0.25">
      <c r="A58">
        <v>237</v>
      </c>
      <c r="B58" t="s">
        <v>11</v>
      </c>
      <c r="C58" t="s">
        <v>1</v>
      </c>
      <c r="D58" t="s">
        <v>2</v>
      </c>
      <c r="E58" t="s">
        <v>3</v>
      </c>
      <c r="F58" t="s">
        <v>4</v>
      </c>
      <c r="G58" s="10">
        <v>46120</v>
      </c>
      <c r="H58" t="s">
        <v>5</v>
      </c>
      <c r="I58">
        <v>2.403</v>
      </c>
      <c r="J58">
        <v>2269.54</v>
      </c>
      <c r="K58">
        <v>1963.79</v>
      </c>
      <c r="L58">
        <v>0.59099999999999997</v>
      </c>
      <c r="M58">
        <v>0.26400000000000001</v>
      </c>
      <c r="N58">
        <v>0.27300000000000002</v>
      </c>
    </row>
    <row r="59" spans="1:14" x14ac:dyDescent="0.25">
      <c r="A59">
        <v>236</v>
      </c>
      <c r="B59" t="s">
        <v>26</v>
      </c>
      <c r="C59" t="s">
        <v>1</v>
      </c>
      <c r="D59" t="s">
        <v>9</v>
      </c>
      <c r="E59" t="s">
        <v>12</v>
      </c>
      <c r="F59" t="s">
        <v>4</v>
      </c>
      <c r="G59" s="10">
        <v>46120</v>
      </c>
      <c r="H59" t="s">
        <v>5</v>
      </c>
      <c r="I59">
        <v>0.13100000000000001</v>
      </c>
      <c r="J59">
        <v>72140.960000000006</v>
      </c>
      <c r="K59">
        <v>62422.13</v>
      </c>
      <c r="L59">
        <v>0.67700000000000005</v>
      </c>
      <c r="M59">
        <v>0.22800000000000001</v>
      </c>
      <c r="N59">
        <v>8.9999999999999993E-3</v>
      </c>
    </row>
    <row r="60" spans="1:14" x14ac:dyDescent="0.25">
      <c r="A60">
        <v>235</v>
      </c>
      <c r="B60" t="s">
        <v>7</v>
      </c>
      <c r="C60" t="s">
        <v>22</v>
      </c>
      <c r="D60" t="s">
        <v>2</v>
      </c>
      <c r="E60" t="s">
        <v>3</v>
      </c>
      <c r="F60" t="s">
        <v>4</v>
      </c>
      <c r="G60" s="10">
        <v>46120</v>
      </c>
      <c r="H60" t="s">
        <v>5</v>
      </c>
      <c r="I60">
        <v>3.859</v>
      </c>
      <c r="J60">
        <v>2246.38</v>
      </c>
      <c r="K60">
        <v>1943.75</v>
      </c>
      <c r="L60">
        <v>0.93500000000000005</v>
      </c>
      <c r="M60">
        <v>0.129</v>
      </c>
      <c r="N60">
        <v>8.1000000000000003E-2</v>
      </c>
    </row>
    <row r="61" spans="1:14" x14ac:dyDescent="0.25">
      <c r="A61">
        <v>234</v>
      </c>
      <c r="B61" t="s">
        <v>7</v>
      </c>
      <c r="C61" t="s">
        <v>8</v>
      </c>
      <c r="D61" t="s">
        <v>9</v>
      </c>
      <c r="E61" t="s">
        <v>3</v>
      </c>
      <c r="F61" t="s">
        <v>4</v>
      </c>
      <c r="G61" s="10">
        <v>46120</v>
      </c>
      <c r="H61" t="s">
        <v>5</v>
      </c>
      <c r="I61">
        <v>0.28100000000000003</v>
      </c>
      <c r="J61">
        <v>72082.81</v>
      </c>
      <c r="K61">
        <v>62371.82</v>
      </c>
      <c r="L61">
        <v>0.96599999999999997</v>
      </c>
      <c r="M61">
        <v>0.38300000000000001</v>
      </c>
      <c r="N61">
        <v>0.108</v>
      </c>
    </row>
    <row r="62" spans="1:14" x14ac:dyDescent="0.25">
      <c r="A62">
        <v>233</v>
      </c>
      <c r="B62" t="s">
        <v>26</v>
      </c>
      <c r="C62" t="s">
        <v>1</v>
      </c>
      <c r="D62" t="s">
        <v>2</v>
      </c>
      <c r="E62" t="s">
        <v>12</v>
      </c>
      <c r="F62" t="s">
        <v>4</v>
      </c>
      <c r="G62" s="10">
        <v>46120</v>
      </c>
      <c r="H62" t="s">
        <v>5</v>
      </c>
      <c r="I62">
        <v>4.9160000000000004</v>
      </c>
      <c r="J62">
        <v>2263.85</v>
      </c>
      <c r="K62">
        <v>1958.87</v>
      </c>
      <c r="L62">
        <v>0.67800000000000005</v>
      </c>
      <c r="M62">
        <v>0.46500000000000002</v>
      </c>
      <c r="N62">
        <v>0.128</v>
      </c>
    </row>
    <row r="63" spans="1:14" x14ac:dyDescent="0.25">
      <c r="A63">
        <v>232</v>
      </c>
      <c r="B63" t="s">
        <v>18</v>
      </c>
      <c r="C63" t="s">
        <v>22</v>
      </c>
      <c r="D63" t="s">
        <v>9</v>
      </c>
      <c r="E63" t="s">
        <v>3</v>
      </c>
      <c r="F63" t="s">
        <v>4</v>
      </c>
      <c r="G63" s="10">
        <v>46120</v>
      </c>
      <c r="H63" t="s">
        <v>5</v>
      </c>
      <c r="I63">
        <v>0.36499999999999999</v>
      </c>
      <c r="J63">
        <v>72248.77</v>
      </c>
      <c r="K63">
        <v>62515.42</v>
      </c>
      <c r="L63">
        <v>0.47599999999999998</v>
      </c>
      <c r="M63">
        <v>0.39300000000000002</v>
      </c>
      <c r="N63">
        <v>0.115</v>
      </c>
    </row>
    <row r="64" spans="1:14" x14ac:dyDescent="0.25">
      <c r="A64">
        <v>231</v>
      </c>
      <c r="B64" t="s">
        <v>18</v>
      </c>
      <c r="C64" t="s">
        <v>8</v>
      </c>
      <c r="D64" t="s">
        <v>2</v>
      </c>
      <c r="E64" t="s">
        <v>3</v>
      </c>
      <c r="F64" t="s">
        <v>4</v>
      </c>
      <c r="G64" s="10">
        <v>46120</v>
      </c>
      <c r="H64" t="s">
        <v>5</v>
      </c>
      <c r="I64">
        <v>1.1890000000000001</v>
      </c>
      <c r="J64">
        <v>2271.2800000000002</v>
      </c>
      <c r="K64">
        <v>1965.29</v>
      </c>
      <c r="L64">
        <v>0.83099999999999996</v>
      </c>
      <c r="M64">
        <v>0.21199999999999999</v>
      </c>
      <c r="N64">
        <v>0.13900000000000001</v>
      </c>
    </row>
    <row r="65" spans="1:14" x14ac:dyDescent="0.25">
      <c r="A65">
        <v>230</v>
      </c>
      <c r="B65" t="s">
        <v>18</v>
      </c>
      <c r="C65" t="s">
        <v>1</v>
      </c>
      <c r="D65" t="s">
        <v>9</v>
      </c>
      <c r="E65" t="s">
        <v>12</v>
      </c>
      <c r="F65" t="s">
        <v>4</v>
      </c>
      <c r="G65" s="10">
        <v>46120</v>
      </c>
      <c r="H65" t="s">
        <v>5</v>
      </c>
      <c r="I65">
        <v>1.4999999999999999E-2</v>
      </c>
      <c r="J65">
        <v>72059.320000000007</v>
      </c>
      <c r="K65">
        <v>62351.49</v>
      </c>
      <c r="L65">
        <v>0.91600000000000004</v>
      </c>
      <c r="M65">
        <v>0.24299999999999999</v>
      </c>
      <c r="N65">
        <v>8.3000000000000004E-2</v>
      </c>
    </row>
    <row r="66" spans="1:14" x14ac:dyDescent="0.25">
      <c r="A66">
        <v>229</v>
      </c>
      <c r="B66" t="s">
        <v>26</v>
      </c>
      <c r="C66" t="s">
        <v>22</v>
      </c>
      <c r="D66" t="s">
        <v>2</v>
      </c>
      <c r="E66" t="s">
        <v>12</v>
      </c>
      <c r="F66" t="s">
        <v>4</v>
      </c>
      <c r="G66" s="10">
        <v>46120</v>
      </c>
      <c r="H66" t="s">
        <v>5</v>
      </c>
      <c r="I66">
        <v>0.99199999999999999</v>
      </c>
      <c r="J66">
        <v>2263.4699999999998</v>
      </c>
      <c r="K66">
        <v>1958.54</v>
      </c>
      <c r="L66">
        <v>0.44600000000000001</v>
      </c>
      <c r="M66">
        <v>0.14199999999999999</v>
      </c>
      <c r="N66">
        <v>0.27800000000000002</v>
      </c>
    </row>
    <row r="67" spans="1:14" x14ac:dyDescent="0.25">
      <c r="A67">
        <v>228</v>
      </c>
      <c r="B67" t="s">
        <v>7</v>
      </c>
      <c r="C67" t="s">
        <v>1</v>
      </c>
      <c r="D67" t="s">
        <v>9</v>
      </c>
      <c r="E67" t="s">
        <v>12</v>
      </c>
      <c r="F67" t="s">
        <v>4</v>
      </c>
      <c r="G67" s="10">
        <v>46120</v>
      </c>
      <c r="H67" t="s">
        <v>5</v>
      </c>
      <c r="I67">
        <v>0.109</v>
      </c>
      <c r="J67">
        <v>71690.02</v>
      </c>
      <c r="K67">
        <v>62031.94</v>
      </c>
      <c r="L67">
        <v>4.1000000000000002E-2</v>
      </c>
      <c r="M67">
        <v>0.36899999999999999</v>
      </c>
      <c r="N67">
        <v>0.19600000000000001</v>
      </c>
    </row>
    <row r="68" spans="1:14" x14ac:dyDescent="0.25">
      <c r="A68">
        <v>227</v>
      </c>
      <c r="B68" t="s">
        <v>15</v>
      </c>
      <c r="C68" t="s">
        <v>1</v>
      </c>
      <c r="D68" t="s">
        <v>2</v>
      </c>
      <c r="E68" t="s">
        <v>12</v>
      </c>
      <c r="F68" t="s">
        <v>4</v>
      </c>
      <c r="G68" s="10">
        <v>46120</v>
      </c>
      <c r="H68" t="s">
        <v>5</v>
      </c>
      <c r="I68">
        <v>1.5289999999999999</v>
      </c>
      <c r="J68">
        <v>2262.4299999999998</v>
      </c>
      <c r="K68">
        <v>1957.63</v>
      </c>
      <c r="L68">
        <v>0.95499999999999996</v>
      </c>
      <c r="M68">
        <v>0.39900000000000002</v>
      </c>
      <c r="N68">
        <v>5.8999999999999997E-2</v>
      </c>
    </row>
    <row r="69" spans="1:14" x14ac:dyDescent="0.25">
      <c r="A69">
        <v>226</v>
      </c>
      <c r="B69" t="s">
        <v>11</v>
      </c>
      <c r="C69" t="s">
        <v>1</v>
      </c>
      <c r="D69" t="s">
        <v>9</v>
      </c>
      <c r="E69" t="s">
        <v>12</v>
      </c>
      <c r="F69" t="s">
        <v>4</v>
      </c>
      <c r="G69" s="10">
        <v>46120</v>
      </c>
      <c r="H69" t="s">
        <v>5</v>
      </c>
      <c r="I69">
        <v>0.23699999999999999</v>
      </c>
      <c r="J69">
        <v>72220.11</v>
      </c>
      <c r="K69">
        <v>62490.62</v>
      </c>
      <c r="L69">
        <v>0.40799999999999997</v>
      </c>
      <c r="M69">
        <v>0.28199999999999997</v>
      </c>
      <c r="N69">
        <v>0.111</v>
      </c>
    </row>
    <row r="70" spans="1:14" x14ac:dyDescent="0.25">
      <c r="A70">
        <v>225</v>
      </c>
      <c r="B70" t="s">
        <v>15</v>
      </c>
      <c r="C70" t="s">
        <v>8</v>
      </c>
      <c r="D70" t="s">
        <v>2</v>
      </c>
      <c r="E70" t="s">
        <v>12</v>
      </c>
      <c r="F70" t="s">
        <v>4</v>
      </c>
      <c r="G70" s="10">
        <v>46120</v>
      </c>
      <c r="H70" t="s">
        <v>5</v>
      </c>
      <c r="I70">
        <v>3.8340000000000001</v>
      </c>
      <c r="J70">
        <v>2261.91</v>
      </c>
      <c r="K70">
        <v>1957.19</v>
      </c>
      <c r="L70">
        <v>5.0999999999999997E-2</v>
      </c>
      <c r="M70">
        <v>0.21299999999999999</v>
      </c>
      <c r="N70">
        <v>0.26400000000000001</v>
      </c>
    </row>
    <row r="71" spans="1:14" x14ac:dyDescent="0.25">
      <c r="A71">
        <v>224</v>
      </c>
      <c r="B71" t="s">
        <v>7</v>
      </c>
      <c r="C71" t="s">
        <v>22</v>
      </c>
      <c r="D71" t="s">
        <v>9</v>
      </c>
      <c r="E71" t="s">
        <v>3</v>
      </c>
      <c r="F71" t="s">
        <v>4</v>
      </c>
      <c r="G71" s="10">
        <v>46120</v>
      </c>
      <c r="H71" t="s">
        <v>5</v>
      </c>
      <c r="I71">
        <v>0.41199999999999998</v>
      </c>
      <c r="J71">
        <v>71713.53</v>
      </c>
      <c r="K71">
        <v>62052.29</v>
      </c>
      <c r="L71">
        <v>0.218</v>
      </c>
      <c r="M71">
        <v>4.2999999999999997E-2</v>
      </c>
      <c r="N71">
        <v>2.9000000000000001E-2</v>
      </c>
    </row>
    <row r="72" spans="1:14" x14ac:dyDescent="0.25">
      <c r="A72">
        <v>223</v>
      </c>
      <c r="B72" t="s">
        <v>11</v>
      </c>
      <c r="C72" t="s">
        <v>8</v>
      </c>
      <c r="D72" t="s">
        <v>9</v>
      </c>
      <c r="E72" t="s">
        <v>12</v>
      </c>
      <c r="F72" t="s">
        <v>4</v>
      </c>
      <c r="G72" s="10">
        <v>46118</v>
      </c>
      <c r="H72" t="s">
        <v>5</v>
      </c>
      <c r="I72">
        <v>0.30099999999999999</v>
      </c>
      <c r="J72">
        <v>70229.25</v>
      </c>
      <c r="K72">
        <v>60936.51</v>
      </c>
      <c r="L72">
        <v>0.629</v>
      </c>
      <c r="M72">
        <v>0.24099999999999999</v>
      </c>
      <c r="N72">
        <v>3.9E-2</v>
      </c>
    </row>
    <row r="73" spans="1:14" x14ac:dyDescent="0.25">
      <c r="A73">
        <v>222</v>
      </c>
      <c r="B73" t="s">
        <v>0</v>
      </c>
      <c r="C73" t="s">
        <v>22</v>
      </c>
      <c r="D73" t="s">
        <v>2</v>
      </c>
      <c r="E73" t="s">
        <v>3</v>
      </c>
      <c r="F73" t="s">
        <v>4</v>
      </c>
      <c r="G73" s="10">
        <v>46118</v>
      </c>
      <c r="H73" t="s">
        <v>5</v>
      </c>
      <c r="I73">
        <v>2.4119999999999999</v>
      </c>
      <c r="J73">
        <v>2175.5300000000002</v>
      </c>
      <c r="K73">
        <v>1887.66</v>
      </c>
      <c r="L73">
        <v>0.53600000000000003</v>
      </c>
      <c r="M73">
        <v>1.7000000000000001E-2</v>
      </c>
      <c r="N73">
        <v>0.26200000000000001</v>
      </c>
    </row>
    <row r="74" spans="1:14" x14ac:dyDescent="0.25">
      <c r="A74">
        <v>221</v>
      </c>
      <c r="B74" t="s">
        <v>26</v>
      </c>
      <c r="C74" t="s">
        <v>1</v>
      </c>
      <c r="D74" t="s">
        <v>9</v>
      </c>
      <c r="E74" t="s">
        <v>3</v>
      </c>
      <c r="F74" t="s">
        <v>4</v>
      </c>
      <c r="G74" s="10">
        <v>46118</v>
      </c>
      <c r="H74" t="s">
        <v>5</v>
      </c>
      <c r="I74">
        <v>0.33800000000000002</v>
      </c>
      <c r="J74">
        <v>70057.87</v>
      </c>
      <c r="K74">
        <v>60787.82</v>
      </c>
      <c r="L74">
        <v>0.94899999999999995</v>
      </c>
      <c r="M74">
        <v>0.44800000000000001</v>
      </c>
      <c r="N74">
        <v>0.151</v>
      </c>
    </row>
    <row r="75" spans="1:14" x14ac:dyDescent="0.25">
      <c r="A75">
        <v>220</v>
      </c>
      <c r="B75" t="s">
        <v>11</v>
      </c>
      <c r="C75" t="s">
        <v>22</v>
      </c>
      <c r="D75" t="s">
        <v>9</v>
      </c>
      <c r="E75" t="s">
        <v>3</v>
      </c>
      <c r="F75" t="s">
        <v>4</v>
      </c>
      <c r="G75" s="10">
        <v>46118</v>
      </c>
      <c r="H75" t="s">
        <v>5</v>
      </c>
      <c r="I75">
        <v>2.7E-2</v>
      </c>
      <c r="J75">
        <v>70673.929999999993</v>
      </c>
      <c r="K75">
        <v>61322.36</v>
      </c>
      <c r="L75">
        <v>0.50600000000000001</v>
      </c>
      <c r="M75">
        <v>0.44400000000000001</v>
      </c>
      <c r="N75">
        <v>0.127</v>
      </c>
    </row>
    <row r="76" spans="1:14" x14ac:dyDescent="0.25">
      <c r="A76">
        <v>219</v>
      </c>
      <c r="B76" t="s">
        <v>15</v>
      </c>
      <c r="C76" t="s">
        <v>1</v>
      </c>
      <c r="D76" t="s">
        <v>2</v>
      </c>
      <c r="E76" t="s">
        <v>12</v>
      </c>
      <c r="F76" t="s">
        <v>4</v>
      </c>
      <c r="G76" s="10">
        <v>46118</v>
      </c>
      <c r="H76" t="s">
        <v>5</v>
      </c>
      <c r="I76">
        <v>0.30399999999999999</v>
      </c>
      <c r="J76">
        <v>2170.3200000000002</v>
      </c>
      <c r="K76">
        <v>1883.14</v>
      </c>
      <c r="L76">
        <v>0.23300000000000001</v>
      </c>
      <c r="M76">
        <v>0.108</v>
      </c>
      <c r="N76">
        <v>4.0000000000000001E-3</v>
      </c>
    </row>
    <row r="77" spans="1:14" x14ac:dyDescent="0.25">
      <c r="A77">
        <v>218</v>
      </c>
      <c r="B77" t="s">
        <v>15</v>
      </c>
      <c r="C77" t="s">
        <v>1</v>
      </c>
      <c r="D77" t="s">
        <v>9</v>
      </c>
      <c r="E77" t="s">
        <v>3</v>
      </c>
      <c r="F77" t="s">
        <v>4</v>
      </c>
      <c r="G77" s="10">
        <v>46118</v>
      </c>
      <c r="H77" t="s">
        <v>5</v>
      </c>
      <c r="I77">
        <v>0.17399999999999999</v>
      </c>
      <c r="J77">
        <v>70551.41</v>
      </c>
      <c r="K77">
        <v>61216.05</v>
      </c>
      <c r="L77">
        <v>0.20699999999999999</v>
      </c>
      <c r="M77">
        <v>0.307</v>
      </c>
      <c r="N77">
        <v>0.23499999999999999</v>
      </c>
    </row>
    <row r="78" spans="1:14" x14ac:dyDescent="0.25">
      <c r="A78">
        <v>217</v>
      </c>
      <c r="B78" t="s">
        <v>26</v>
      </c>
      <c r="C78" t="s">
        <v>1</v>
      </c>
      <c r="D78" t="s">
        <v>9</v>
      </c>
      <c r="E78" t="s">
        <v>3</v>
      </c>
      <c r="F78" t="s">
        <v>4</v>
      </c>
      <c r="G78" s="10">
        <v>46118</v>
      </c>
      <c r="H78" t="s">
        <v>5</v>
      </c>
      <c r="I78">
        <v>0.317</v>
      </c>
      <c r="J78">
        <v>70210.14</v>
      </c>
      <c r="K78">
        <v>60919.93</v>
      </c>
      <c r="L78">
        <v>0.46800000000000003</v>
      </c>
      <c r="M78">
        <v>1.2999999999999999E-2</v>
      </c>
      <c r="N78">
        <v>0.23599999999999999</v>
      </c>
    </row>
    <row r="79" spans="1:14" x14ac:dyDescent="0.25">
      <c r="A79">
        <v>216</v>
      </c>
      <c r="B79" t="s">
        <v>18</v>
      </c>
      <c r="C79" t="s">
        <v>1</v>
      </c>
      <c r="D79" t="s">
        <v>9</v>
      </c>
      <c r="E79" t="s">
        <v>12</v>
      </c>
      <c r="F79" t="s">
        <v>4</v>
      </c>
      <c r="G79" s="10">
        <v>46118</v>
      </c>
      <c r="H79" t="s">
        <v>5</v>
      </c>
      <c r="I79">
        <v>4.1000000000000002E-2</v>
      </c>
      <c r="J79">
        <v>70465.67</v>
      </c>
      <c r="K79">
        <v>61141.66</v>
      </c>
      <c r="L79">
        <v>0.745</v>
      </c>
      <c r="M79">
        <v>0.46700000000000003</v>
      </c>
      <c r="N79">
        <v>4.5999999999999999E-2</v>
      </c>
    </row>
    <row r="80" spans="1:14" x14ac:dyDescent="0.25">
      <c r="A80">
        <v>215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s="10">
        <v>46118</v>
      </c>
      <c r="H80" t="s">
        <v>5</v>
      </c>
      <c r="I80">
        <v>0.47799999999999998</v>
      </c>
      <c r="J80">
        <v>2183.64</v>
      </c>
      <c r="K80">
        <v>1894.7</v>
      </c>
      <c r="L80">
        <v>0.67300000000000004</v>
      </c>
      <c r="M80">
        <v>1.4999999999999999E-2</v>
      </c>
      <c r="N80">
        <v>0.27500000000000002</v>
      </c>
    </row>
    <row r="81" spans="1:14" x14ac:dyDescent="0.25">
      <c r="A81">
        <v>214</v>
      </c>
      <c r="B81" t="s">
        <v>26</v>
      </c>
      <c r="C81" t="s">
        <v>8</v>
      </c>
      <c r="D81" t="s">
        <v>2</v>
      </c>
      <c r="E81" t="s">
        <v>12</v>
      </c>
      <c r="F81" t="s">
        <v>4</v>
      </c>
      <c r="G81" s="10">
        <v>46118</v>
      </c>
      <c r="H81" t="s">
        <v>5</v>
      </c>
      <c r="I81">
        <v>2.6869999999999998</v>
      </c>
      <c r="J81">
        <v>2173.36</v>
      </c>
      <c r="K81">
        <v>1885.78</v>
      </c>
      <c r="L81">
        <v>0.32700000000000001</v>
      </c>
      <c r="M81">
        <v>0.28199999999999997</v>
      </c>
      <c r="N81">
        <v>1.4999999999999999E-2</v>
      </c>
    </row>
    <row r="82" spans="1:14" x14ac:dyDescent="0.25">
      <c r="A82">
        <v>213</v>
      </c>
      <c r="B82" t="s">
        <v>11</v>
      </c>
      <c r="C82" t="s">
        <v>1</v>
      </c>
      <c r="D82" t="s">
        <v>2</v>
      </c>
      <c r="E82" t="s">
        <v>12</v>
      </c>
      <c r="F82" t="s">
        <v>4</v>
      </c>
      <c r="G82" s="10">
        <v>46118</v>
      </c>
      <c r="H82" t="s">
        <v>5</v>
      </c>
      <c r="I82">
        <v>2.1120000000000001</v>
      </c>
      <c r="J82">
        <v>2185.84</v>
      </c>
      <c r="K82">
        <v>1896.61</v>
      </c>
      <c r="L82">
        <v>0.67300000000000004</v>
      </c>
      <c r="M82">
        <v>0.313</v>
      </c>
      <c r="N82">
        <v>7.4999999999999997E-2</v>
      </c>
    </row>
    <row r="83" spans="1:14" x14ac:dyDescent="0.25">
      <c r="A83">
        <v>212</v>
      </c>
      <c r="B83" t="s">
        <v>26</v>
      </c>
      <c r="C83" t="s">
        <v>8</v>
      </c>
      <c r="D83" t="s">
        <v>9</v>
      </c>
      <c r="E83" t="s">
        <v>3</v>
      </c>
      <c r="F83" t="s">
        <v>4</v>
      </c>
      <c r="G83" s="10">
        <v>46118</v>
      </c>
      <c r="H83" t="s">
        <v>5</v>
      </c>
      <c r="I83">
        <v>0.378</v>
      </c>
      <c r="J83">
        <v>70247.67</v>
      </c>
      <c r="K83">
        <v>60952.5</v>
      </c>
      <c r="L83">
        <v>0.68300000000000005</v>
      </c>
      <c r="M83">
        <v>0.41299999999999998</v>
      </c>
      <c r="N83">
        <v>2.3E-2</v>
      </c>
    </row>
    <row r="84" spans="1:14" x14ac:dyDescent="0.25">
      <c r="A84">
        <v>211</v>
      </c>
      <c r="B84" t="s">
        <v>0</v>
      </c>
      <c r="C84" t="s">
        <v>1</v>
      </c>
      <c r="D84" t="s">
        <v>9</v>
      </c>
      <c r="E84" t="s">
        <v>12</v>
      </c>
      <c r="F84" t="s">
        <v>4</v>
      </c>
      <c r="G84" s="10">
        <v>46116</v>
      </c>
      <c r="H84" t="s">
        <v>36</v>
      </c>
      <c r="I84">
        <v>0</v>
      </c>
      <c r="J84">
        <v>66840.78</v>
      </c>
      <c r="K84">
        <v>57996.41</v>
      </c>
      <c r="L84">
        <v>0.68100000000000005</v>
      </c>
      <c r="M84">
        <v>0.104</v>
      </c>
      <c r="N84">
        <v>0.10100000000000001</v>
      </c>
    </row>
    <row r="85" spans="1:14" x14ac:dyDescent="0.25">
      <c r="A85">
        <v>210</v>
      </c>
      <c r="B85" t="s">
        <v>15</v>
      </c>
      <c r="C85" t="s">
        <v>8</v>
      </c>
      <c r="D85" t="s">
        <v>2</v>
      </c>
      <c r="E85" t="s">
        <v>3</v>
      </c>
      <c r="F85" t="s">
        <v>4</v>
      </c>
      <c r="G85" s="10">
        <v>46113</v>
      </c>
      <c r="H85" t="s">
        <v>5</v>
      </c>
      <c r="I85">
        <v>0.13200000000000001</v>
      </c>
      <c r="J85">
        <v>2109.75</v>
      </c>
      <c r="K85">
        <v>1817.97</v>
      </c>
      <c r="L85">
        <v>0.501</v>
      </c>
      <c r="M85">
        <v>0.185</v>
      </c>
      <c r="N85">
        <v>0.17699999999999999</v>
      </c>
    </row>
    <row r="86" spans="1:14" x14ac:dyDescent="0.25">
      <c r="A86">
        <v>209</v>
      </c>
      <c r="B86" t="s">
        <v>7</v>
      </c>
      <c r="C86" t="s">
        <v>22</v>
      </c>
      <c r="D86" t="s">
        <v>9</v>
      </c>
      <c r="E86" t="s">
        <v>3</v>
      </c>
      <c r="F86" t="s">
        <v>4</v>
      </c>
      <c r="G86" s="10">
        <v>46112</v>
      </c>
      <c r="H86" t="s">
        <v>5</v>
      </c>
      <c r="I86">
        <v>0.41199999999999998</v>
      </c>
      <c r="J86">
        <v>67158.14</v>
      </c>
      <c r="K86">
        <v>58408.78</v>
      </c>
      <c r="L86">
        <v>0.32300000000000001</v>
      </c>
      <c r="M86">
        <v>0.22900000000000001</v>
      </c>
      <c r="N86">
        <v>2E-3</v>
      </c>
    </row>
    <row r="87" spans="1:14" x14ac:dyDescent="0.25">
      <c r="A87">
        <v>208</v>
      </c>
      <c r="B87" t="s">
        <v>18</v>
      </c>
      <c r="C87" t="s">
        <v>1</v>
      </c>
      <c r="D87" t="s">
        <v>2</v>
      </c>
      <c r="E87" t="s">
        <v>3</v>
      </c>
      <c r="F87" t="s">
        <v>4</v>
      </c>
      <c r="G87" s="10">
        <v>46111</v>
      </c>
      <c r="H87" t="s">
        <v>36</v>
      </c>
      <c r="I87">
        <v>4.3040000000000003</v>
      </c>
      <c r="J87">
        <v>1966.57</v>
      </c>
      <c r="K87">
        <v>1712.45</v>
      </c>
      <c r="L87">
        <v>0.90400000000000003</v>
      </c>
      <c r="M87">
        <v>0.48799999999999999</v>
      </c>
      <c r="N87">
        <v>9.4E-2</v>
      </c>
    </row>
    <row r="88" spans="1:14" x14ac:dyDescent="0.25">
      <c r="A88">
        <v>207</v>
      </c>
      <c r="B88" t="s">
        <v>7</v>
      </c>
      <c r="C88" t="s">
        <v>22</v>
      </c>
      <c r="D88" t="s">
        <v>9</v>
      </c>
      <c r="E88" t="s">
        <v>12</v>
      </c>
      <c r="F88" t="s">
        <v>4</v>
      </c>
      <c r="G88" s="10">
        <v>46111</v>
      </c>
      <c r="H88" t="s">
        <v>36</v>
      </c>
      <c r="I88">
        <v>0.19600000000000001</v>
      </c>
      <c r="J88">
        <v>65401.16</v>
      </c>
      <c r="K88">
        <v>56950.02</v>
      </c>
      <c r="L88">
        <v>8.8999999999999996E-2</v>
      </c>
      <c r="M88">
        <v>0.13900000000000001</v>
      </c>
      <c r="N88">
        <v>5.8999999999999997E-2</v>
      </c>
    </row>
    <row r="89" spans="1:14" x14ac:dyDescent="0.25">
      <c r="A89">
        <v>206</v>
      </c>
      <c r="B89" t="s">
        <v>26</v>
      </c>
      <c r="C89" t="s">
        <v>1</v>
      </c>
      <c r="D89" t="s">
        <v>9</v>
      </c>
      <c r="E89" t="s">
        <v>12</v>
      </c>
      <c r="F89" t="s">
        <v>4</v>
      </c>
      <c r="G89" s="10">
        <v>46109</v>
      </c>
      <c r="H89" t="s">
        <v>36</v>
      </c>
      <c r="I89">
        <v>0.20799999999999999</v>
      </c>
      <c r="J89">
        <v>66035.72</v>
      </c>
      <c r="K89">
        <v>57337.49</v>
      </c>
      <c r="L89">
        <v>0.30499999999999999</v>
      </c>
      <c r="M89">
        <v>0.309</v>
      </c>
      <c r="N89">
        <v>0.223</v>
      </c>
    </row>
    <row r="90" spans="1:14" x14ac:dyDescent="0.25">
      <c r="A90">
        <v>205</v>
      </c>
      <c r="B90" t="s">
        <v>7</v>
      </c>
      <c r="C90" t="s">
        <v>1</v>
      </c>
      <c r="D90" t="s">
        <v>9</v>
      </c>
      <c r="E90" t="s">
        <v>3</v>
      </c>
      <c r="F90" t="s">
        <v>4</v>
      </c>
      <c r="G90" s="10">
        <v>46103</v>
      </c>
      <c r="H90" t="s">
        <v>5</v>
      </c>
      <c r="I90">
        <v>0.19700000000000001</v>
      </c>
      <c r="J90">
        <v>69146.83</v>
      </c>
      <c r="K90">
        <v>59841.74</v>
      </c>
      <c r="L90">
        <v>0.38200000000000001</v>
      </c>
      <c r="M90">
        <v>0.35199999999999998</v>
      </c>
      <c r="N90">
        <v>0.20100000000000001</v>
      </c>
    </row>
    <row r="91" spans="1:14" x14ac:dyDescent="0.25">
      <c r="A91">
        <v>204</v>
      </c>
      <c r="B91" t="s">
        <v>7</v>
      </c>
      <c r="C91" t="s">
        <v>8</v>
      </c>
      <c r="D91" t="s">
        <v>9</v>
      </c>
      <c r="E91" t="s">
        <v>3</v>
      </c>
      <c r="F91" t="s">
        <v>4</v>
      </c>
      <c r="G91" s="10">
        <v>46102</v>
      </c>
      <c r="H91" t="s">
        <v>36</v>
      </c>
      <c r="I91">
        <v>0.35599999999999998</v>
      </c>
      <c r="J91">
        <v>70448.09</v>
      </c>
      <c r="K91">
        <v>60967.89</v>
      </c>
      <c r="L91">
        <v>0.93200000000000005</v>
      </c>
      <c r="M91">
        <v>0.115</v>
      </c>
      <c r="N91">
        <v>5.0999999999999997E-2</v>
      </c>
    </row>
    <row r="92" spans="1:14" x14ac:dyDescent="0.25">
      <c r="A92">
        <v>203</v>
      </c>
      <c r="B92" t="s">
        <v>26</v>
      </c>
      <c r="C92" t="s">
        <v>1</v>
      </c>
      <c r="D92" t="s">
        <v>2</v>
      </c>
      <c r="E92" t="s">
        <v>3</v>
      </c>
      <c r="F92" t="s">
        <v>4</v>
      </c>
      <c r="G92" s="10">
        <v>46097</v>
      </c>
      <c r="H92" t="s">
        <v>36</v>
      </c>
      <c r="I92">
        <v>4.476</v>
      </c>
      <c r="J92">
        <v>2166.98</v>
      </c>
      <c r="K92">
        <v>1887.94</v>
      </c>
      <c r="L92">
        <v>0.61699999999999999</v>
      </c>
      <c r="M92">
        <v>0.39500000000000002</v>
      </c>
      <c r="N92">
        <v>0.20499999999999999</v>
      </c>
    </row>
    <row r="93" spans="1:14" x14ac:dyDescent="0.25">
      <c r="A93">
        <v>202</v>
      </c>
      <c r="B93" t="s">
        <v>15</v>
      </c>
      <c r="C93" t="s">
        <v>1</v>
      </c>
      <c r="D93" t="s">
        <v>9</v>
      </c>
      <c r="E93" t="s">
        <v>12</v>
      </c>
      <c r="F93" t="s">
        <v>4</v>
      </c>
      <c r="G93" s="10">
        <v>46094</v>
      </c>
      <c r="H93" t="s">
        <v>36</v>
      </c>
      <c r="I93">
        <v>2.5000000000000001E-2</v>
      </c>
      <c r="J93">
        <v>70154.34</v>
      </c>
      <c r="K93">
        <v>61131.08</v>
      </c>
      <c r="L93">
        <v>0.23799999999999999</v>
      </c>
      <c r="M93">
        <v>0.23300000000000001</v>
      </c>
      <c r="N93">
        <v>8.8999999999999996E-2</v>
      </c>
    </row>
    <row r="94" spans="1:14" x14ac:dyDescent="0.25">
      <c r="A94">
        <v>201</v>
      </c>
      <c r="B94" t="s">
        <v>11</v>
      </c>
      <c r="C94" t="s">
        <v>1</v>
      </c>
      <c r="D94" t="s">
        <v>9</v>
      </c>
      <c r="E94" t="s">
        <v>3</v>
      </c>
      <c r="F94" t="s">
        <v>4</v>
      </c>
      <c r="G94" s="10">
        <v>46092</v>
      </c>
      <c r="H94" t="s">
        <v>5</v>
      </c>
      <c r="I94">
        <v>0.154</v>
      </c>
      <c r="J94">
        <v>70374.53</v>
      </c>
      <c r="K94">
        <v>60767</v>
      </c>
      <c r="L94">
        <v>0.442</v>
      </c>
      <c r="M94">
        <v>0.29199999999999998</v>
      </c>
      <c r="N94">
        <v>5.3999999999999999E-2</v>
      </c>
    </row>
    <row r="95" spans="1:14" x14ac:dyDescent="0.25">
      <c r="A95">
        <v>200</v>
      </c>
      <c r="B95" t="s">
        <v>0</v>
      </c>
      <c r="C95" t="s">
        <v>8</v>
      </c>
      <c r="D95" t="s">
        <v>2</v>
      </c>
      <c r="E95" t="s">
        <v>3</v>
      </c>
      <c r="F95" t="s">
        <v>4</v>
      </c>
      <c r="G95" s="10">
        <v>46091</v>
      </c>
      <c r="H95" t="s">
        <v>5</v>
      </c>
      <c r="I95">
        <v>4.5410000000000004</v>
      </c>
      <c r="J95">
        <v>1998.99</v>
      </c>
      <c r="K95">
        <v>1717.19</v>
      </c>
      <c r="L95">
        <v>8.2000000000000003E-2</v>
      </c>
      <c r="M95">
        <v>0.309</v>
      </c>
      <c r="N95">
        <v>5.1999999999999998E-2</v>
      </c>
    </row>
    <row r="96" spans="1:14" x14ac:dyDescent="0.25">
      <c r="A96">
        <v>199</v>
      </c>
      <c r="B96" t="s">
        <v>0</v>
      </c>
      <c r="C96" t="s">
        <v>22</v>
      </c>
      <c r="D96" t="s">
        <v>9</v>
      </c>
      <c r="E96" t="s">
        <v>12</v>
      </c>
      <c r="F96" t="s">
        <v>4</v>
      </c>
      <c r="G96" s="10">
        <v>46090</v>
      </c>
      <c r="H96" t="s">
        <v>36</v>
      </c>
      <c r="I96">
        <v>5.6000000000000001E-2</v>
      </c>
      <c r="J96">
        <v>65633.02</v>
      </c>
      <c r="K96">
        <v>56800.78</v>
      </c>
      <c r="L96">
        <v>0.39200000000000002</v>
      </c>
      <c r="M96">
        <v>0.47099999999999997</v>
      </c>
      <c r="N96">
        <v>0.221</v>
      </c>
    </row>
    <row r="97" spans="1:14" x14ac:dyDescent="0.25">
      <c r="A97">
        <v>198</v>
      </c>
      <c r="B97" t="s">
        <v>0</v>
      </c>
      <c r="C97" t="s">
        <v>22</v>
      </c>
      <c r="D97" t="s">
        <v>9</v>
      </c>
      <c r="E97" t="s">
        <v>3</v>
      </c>
      <c r="F97" t="s">
        <v>4</v>
      </c>
      <c r="G97" s="10">
        <v>46089</v>
      </c>
      <c r="H97" t="s">
        <v>5</v>
      </c>
      <c r="I97">
        <v>0.39200000000000002</v>
      </c>
      <c r="J97">
        <v>67854.11</v>
      </c>
      <c r="K97">
        <v>58692.45</v>
      </c>
      <c r="L97">
        <v>0.35799999999999998</v>
      </c>
      <c r="M97">
        <v>0.32800000000000001</v>
      </c>
      <c r="N97">
        <v>9.7000000000000003E-2</v>
      </c>
    </row>
    <row r="98" spans="1:14" x14ac:dyDescent="0.25">
      <c r="A98">
        <v>197</v>
      </c>
      <c r="B98" t="s">
        <v>18</v>
      </c>
      <c r="C98" t="s">
        <v>1</v>
      </c>
      <c r="D98" t="s">
        <v>2</v>
      </c>
      <c r="E98" t="s">
        <v>12</v>
      </c>
      <c r="F98" t="s">
        <v>4</v>
      </c>
      <c r="G98" s="10">
        <v>46088</v>
      </c>
      <c r="H98" t="s">
        <v>5</v>
      </c>
      <c r="I98">
        <v>4.3630000000000004</v>
      </c>
      <c r="J98">
        <v>1994.31</v>
      </c>
      <c r="K98">
        <v>1725.03</v>
      </c>
      <c r="L98">
        <v>0.313</v>
      </c>
      <c r="M98">
        <v>0.38900000000000001</v>
      </c>
      <c r="N98">
        <v>0.152</v>
      </c>
    </row>
    <row r="99" spans="1:14" x14ac:dyDescent="0.25">
      <c r="A99">
        <v>196</v>
      </c>
      <c r="B99" t="s">
        <v>0</v>
      </c>
      <c r="C99" t="s">
        <v>22</v>
      </c>
      <c r="D99" t="s">
        <v>9</v>
      </c>
      <c r="E99" t="s">
        <v>12</v>
      </c>
      <c r="F99" t="s">
        <v>4</v>
      </c>
      <c r="G99" s="10">
        <v>46088</v>
      </c>
      <c r="H99" t="s">
        <v>36</v>
      </c>
      <c r="I99">
        <v>8.5999999999999993E-2</v>
      </c>
      <c r="J99">
        <v>67858.960000000006</v>
      </c>
      <c r="K99">
        <v>58696.639999999999</v>
      </c>
      <c r="L99">
        <v>0.25900000000000001</v>
      </c>
      <c r="M99">
        <v>2.7E-2</v>
      </c>
      <c r="N99">
        <v>0</v>
      </c>
    </row>
    <row r="100" spans="1:14" x14ac:dyDescent="0.25">
      <c r="A100">
        <v>195</v>
      </c>
      <c r="B100" t="s">
        <v>0</v>
      </c>
      <c r="C100" t="s">
        <v>8</v>
      </c>
      <c r="D100" t="s">
        <v>9</v>
      </c>
      <c r="E100" t="s">
        <v>3</v>
      </c>
      <c r="F100" t="s">
        <v>4</v>
      </c>
      <c r="G100" s="10">
        <v>46087</v>
      </c>
      <c r="H100" t="s">
        <v>5</v>
      </c>
      <c r="I100">
        <v>0.314</v>
      </c>
      <c r="J100">
        <v>70984.88</v>
      </c>
      <c r="K100">
        <v>61400.5</v>
      </c>
      <c r="L100">
        <v>3.6999999999999998E-2</v>
      </c>
      <c r="M100">
        <v>0.105</v>
      </c>
      <c r="N100">
        <v>0.23400000000000001</v>
      </c>
    </row>
    <row r="101" spans="1:14" x14ac:dyDescent="0.25">
      <c r="A101">
        <v>194</v>
      </c>
      <c r="B101" t="s">
        <v>7</v>
      </c>
      <c r="C101" t="s">
        <v>1</v>
      </c>
      <c r="D101" t="s">
        <v>9</v>
      </c>
      <c r="E101" t="s">
        <v>12</v>
      </c>
      <c r="F101" t="s">
        <v>4</v>
      </c>
      <c r="G101" s="10">
        <v>46083</v>
      </c>
      <c r="H101" t="s">
        <v>5</v>
      </c>
      <c r="I101">
        <v>0.14799999999999999</v>
      </c>
      <c r="J101">
        <v>65816.19</v>
      </c>
      <c r="K101">
        <v>56262.97</v>
      </c>
      <c r="L101">
        <v>0.47099999999999997</v>
      </c>
      <c r="M101">
        <v>0.49399999999999999</v>
      </c>
      <c r="N101">
        <v>0.23599999999999999</v>
      </c>
    </row>
    <row r="102" spans="1:14" x14ac:dyDescent="0.25">
      <c r="A102">
        <v>193</v>
      </c>
      <c r="B102" t="s">
        <v>26</v>
      </c>
      <c r="C102" t="s">
        <v>1</v>
      </c>
      <c r="D102" t="s">
        <v>2</v>
      </c>
      <c r="E102" t="s">
        <v>3</v>
      </c>
      <c r="F102" t="s">
        <v>4</v>
      </c>
      <c r="G102" s="10">
        <v>46081</v>
      </c>
      <c r="H102" t="s">
        <v>36</v>
      </c>
      <c r="I102">
        <v>0.69599999999999995</v>
      </c>
      <c r="J102">
        <v>1926.61</v>
      </c>
      <c r="K102">
        <v>1632.03</v>
      </c>
      <c r="L102">
        <v>0.61199999999999999</v>
      </c>
      <c r="M102">
        <v>0.32700000000000001</v>
      </c>
      <c r="N102">
        <v>0.108</v>
      </c>
    </row>
    <row r="103" spans="1:14" x14ac:dyDescent="0.25">
      <c r="A103">
        <v>192</v>
      </c>
      <c r="B103" t="s">
        <v>7</v>
      </c>
      <c r="C103" t="s">
        <v>22</v>
      </c>
      <c r="D103" t="s">
        <v>9</v>
      </c>
      <c r="E103" t="s">
        <v>12</v>
      </c>
      <c r="F103" t="s">
        <v>4</v>
      </c>
      <c r="G103" s="10">
        <v>46077</v>
      </c>
      <c r="H103" t="s">
        <v>5</v>
      </c>
      <c r="I103">
        <v>0.34599999999999997</v>
      </c>
      <c r="J103">
        <v>64903.64</v>
      </c>
      <c r="K103">
        <v>55110.33</v>
      </c>
      <c r="L103">
        <v>0.24399999999999999</v>
      </c>
      <c r="M103">
        <v>0.28699999999999998</v>
      </c>
      <c r="N103">
        <v>0.25600000000000001</v>
      </c>
    </row>
    <row r="104" spans="1:14" x14ac:dyDescent="0.25">
      <c r="A104">
        <v>191</v>
      </c>
      <c r="B104" t="s">
        <v>15</v>
      </c>
      <c r="C104" t="s">
        <v>22</v>
      </c>
      <c r="D104" t="s">
        <v>2</v>
      </c>
      <c r="E104" t="s">
        <v>3</v>
      </c>
      <c r="F104" t="s">
        <v>4</v>
      </c>
      <c r="G104" s="10">
        <v>46073</v>
      </c>
      <c r="H104" t="s">
        <v>36</v>
      </c>
      <c r="I104">
        <v>0.74199999999999999</v>
      </c>
      <c r="J104">
        <v>1935.37</v>
      </c>
      <c r="K104">
        <v>1644.74</v>
      </c>
      <c r="L104">
        <v>0.308</v>
      </c>
      <c r="M104">
        <v>0.41699999999999998</v>
      </c>
      <c r="N104">
        <v>0.13200000000000001</v>
      </c>
    </row>
    <row r="105" spans="1:14" x14ac:dyDescent="0.25">
      <c r="A105">
        <v>190</v>
      </c>
      <c r="B105" t="s">
        <v>15</v>
      </c>
      <c r="C105" t="s">
        <v>8</v>
      </c>
      <c r="D105" t="s">
        <v>9</v>
      </c>
      <c r="E105" t="s">
        <v>3</v>
      </c>
      <c r="F105" t="s">
        <v>4</v>
      </c>
      <c r="G105" s="10">
        <v>46071</v>
      </c>
      <c r="H105" t="s">
        <v>36</v>
      </c>
      <c r="I105">
        <v>0.44500000000000001</v>
      </c>
      <c r="J105">
        <v>67130.92</v>
      </c>
      <c r="K105">
        <v>56674.6</v>
      </c>
      <c r="L105">
        <v>0.81299999999999994</v>
      </c>
      <c r="M105">
        <v>0.215</v>
      </c>
      <c r="N105">
        <v>0.23899999999999999</v>
      </c>
    </row>
    <row r="106" spans="1:14" x14ac:dyDescent="0.25">
      <c r="A106">
        <v>189</v>
      </c>
      <c r="B106" t="s">
        <v>7</v>
      </c>
      <c r="C106" t="s">
        <v>1</v>
      </c>
      <c r="D106" t="s">
        <v>9</v>
      </c>
      <c r="E106" t="s">
        <v>12</v>
      </c>
      <c r="F106" t="s">
        <v>4</v>
      </c>
      <c r="G106" s="10">
        <v>46069</v>
      </c>
      <c r="H106" t="s">
        <v>5</v>
      </c>
      <c r="I106">
        <v>0.32500000000000001</v>
      </c>
      <c r="J106">
        <v>68877.67</v>
      </c>
      <c r="K106">
        <v>58100.38</v>
      </c>
      <c r="L106">
        <v>0.754</v>
      </c>
      <c r="M106">
        <v>0.38400000000000001</v>
      </c>
      <c r="N106">
        <v>0.214</v>
      </c>
    </row>
    <row r="107" spans="1:14" x14ac:dyDescent="0.25">
      <c r="A107">
        <v>188</v>
      </c>
      <c r="B107" t="s">
        <v>0</v>
      </c>
      <c r="C107" t="s">
        <v>1</v>
      </c>
      <c r="D107" t="s">
        <v>9</v>
      </c>
      <c r="E107" t="s">
        <v>3</v>
      </c>
      <c r="F107" t="s">
        <v>4</v>
      </c>
      <c r="G107" s="10">
        <v>46065</v>
      </c>
      <c r="H107" t="s">
        <v>36</v>
      </c>
      <c r="I107">
        <v>1.4E-2</v>
      </c>
      <c r="J107">
        <v>66427.31</v>
      </c>
      <c r="K107">
        <v>55943.76</v>
      </c>
      <c r="L107">
        <v>0.252</v>
      </c>
      <c r="M107">
        <v>0.13300000000000001</v>
      </c>
      <c r="N107">
        <v>4.4999999999999998E-2</v>
      </c>
    </row>
    <row r="108" spans="1:14" x14ac:dyDescent="0.25">
      <c r="A108">
        <v>187</v>
      </c>
      <c r="B108" t="s">
        <v>0</v>
      </c>
      <c r="C108" t="s">
        <v>22</v>
      </c>
      <c r="D108" t="s">
        <v>9</v>
      </c>
      <c r="E108" t="s">
        <v>3</v>
      </c>
      <c r="F108" t="s">
        <v>4</v>
      </c>
      <c r="G108" s="10">
        <v>46063</v>
      </c>
      <c r="H108" t="s">
        <v>36</v>
      </c>
      <c r="I108">
        <v>1.7999999999999999E-2</v>
      </c>
      <c r="J108">
        <v>69424.45</v>
      </c>
      <c r="K108">
        <v>58369.3</v>
      </c>
      <c r="L108">
        <v>0.64900000000000002</v>
      </c>
      <c r="M108">
        <v>0.185</v>
      </c>
      <c r="N108">
        <v>0.23200000000000001</v>
      </c>
    </row>
    <row r="109" spans="1:14" x14ac:dyDescent="0.25">
      <c r="A109">
        <v>186</v>
      </c>
      <c r="B109" t="s">
        <v>18</v>
      </c>
      <c r="C109" t="s">
        <v>22</v>
      </c>
      <c r="D109" t="s">
        <v>9</v>
      </c>
      <c r="E109" t="s">
        <v>3</v>
      </c>
      <c r="F109" t="s">
        <v>4</v>
      </c>
      <c r="G109" s="10">
        <v>46061</v>
      </c>
      <c r="H109" t="s">
        <v>5</v>
      </c>
      <c r="I109">
        <v>0.38100000000000001</v>
      </c>
      <c r="J109">
        <v>69787.460000000006</v>
      </c>
      <c r="K109">
        <v>59172.08</v>
      </c>
      <c r="L109">
        <v>0.45700000000000002</v>
      </c>
      <c r="M109">
        <v>0.49199999999999999</v>
      </c>
      <c r="N109">
        <v>0.193</v>
      </c>
    </row>
    <row r="110" spans="1:14" x14ac:dyDescent="0.25">
      <c r="A110">
        <v>185</v>
      </c>
      <c r="B110" t="s">
        <v>11</v>
      </c>
      <c r="C110" t="s">
        <v>8</v>
      </c>
      <c r="D110" t="s">
        <v>9</v>
      </c>
      <c r="E110" t="s">
        <v>3</v>
      </c>
      <c r="F110" t="s">
        <v>4</v>
      </c>
      <c r="G110" s="10">
        <v>46058</v>
      </c>
      <c r="H110" t="s">
        <v>36</v>
      </c>
      <c r="I110">
        <v>0.251</v>
      </c>
      <c r="J110">
        <v>72757.94</v>
      </c>
      <c r="K110">
        <v>61669.63</v>
      </c>
      <c r="L110">
        <v>0.28100000000000003</v>
      </c>
      <c r="M110">
        <v>0.41099999999999998</v>
      </c>
      <c r="N110">
        <v>2.9000000000000001E-2</v>
      </c>
    </row>
    <row r="111" spans="1:14" x14ac:dyDescent="0.25">
      <c r="A111">
        <v>184</v>
      </c>
      <c r="B111" t="s">
        <v>7</v>
      </c>
      <c r="C111" t="s">
        <v>22</v>
      </c>
      <c r="D111" t="s">
        <v>2</v>
      </c>
      <c r="E111" t="s">
        <v>3</v>
      </c>
      <c r="F111" t="s">
        <v>4</v>
      </c>
      <c r="G111" s="10">
        <v>46057</v>
      </c>
      <c r="H111" t="s">
        <v>5</v>
      </c>
      <c r="I111">
        <v>3.609</v>
      </c>
      <c r="J111">
        <v>2230.79</v>
      </c>
      <c r="K111">
        <v>1887.29</v>
      </c>
      <c r="L111">
        <v>0.92600000000000005</v>
      </c>
      <c r="M111">
        <v>0.47799999999999998</v>
      </c>
      <c r="N111">
        <v>0.187</v>
      </c>
    </row>
    <row r="112" spans="1:14" x14ac:dyDescent="0.25">
      <c r="A112">
        <v>183</v>
      </c>
      <c r="B112" t="s">
        <v>15</v>
      </c>
      <c r="C112" t="s">
        <v>8</v>
      </c>
      <c r="D112" t="s">
        <v>9</v>
      </c>
      <c r="E112" t="s">
        <v>12</v>
      </c>
      <c r="F112" t="s">
        <v>4</v>
      </c>
      <c r="G112" s="10">
        <v>46057</v>
      </c>
      <c r="H112" t="s">
        <v>36</v>
      </c>
      <c r="I112">
        <v>4.8000000000000001E-2</v>
      </c>
      <c r="J112">
        <v>75045.179999999993</v>
      </c>
      <c r="K112">
        <v>63489.72</v>
      </c>
      <c r="L112">
        <v>0.89900000000000002</v>
      </c>
      <c r="M112">
        <v>4.3999999999999997E-2</v>
      </c>
      <c r="N112">
        <v>0.16300000000000001</v>
      </c>
    </row>
    <row r="113" spans="1:14" x14ac:dyDescent="0.25">
      <c r="A113">
        <v>182</v>
      </c>
      <c r="B113" t="s">
        <v>26</v>
      </c>
      <c r="C113" t="s">
        <v>8</v>
      </c>
      <c r="D113" t="s">
        <v>2</v>
      </c>
      <c r="E113" t="s">
        <v>12</v>
      </c>
      <c r="F113" t="s">
        <v>4</v>
      </c>
      <c r="G113" s="10">
        <v>46055</v>
      </c>
      <c r="H113" t="s">
        <v>36</v>
      </c>
      <c r="I113">
        <v>1.579</v>
      </c>
      <c r="J113">
        <v>2265.71</v>
      </c>
      <c r="K113">
        <v>1913.6</v>
      </c>
      <c r="L113">
        <v>0.45400000000000001</v>
      </c>
      <c r="M113">
        <v>0.40799999999999997</v>
      </c>
      <c r="N113">
        <v>0.23699999999999999</v>
      </c>
    </row>
    <row r="114" spans="1:14" x14ac:dyDescent="0.25">
      <c r="A114">
        <v>181</v>
      </c>
      <c r="B114" t="s">
        <v>18</v>
      </c>
      <c r="C114" t="s">
        <v>8</v>
      </c>
      <c r="D114" t="s">
        <v>9</v>
      </c>
      <c r="E114" t="s">
        <v>3</v>
      </c>
      <c r="F114" t="s">
        <v>4</v>
      </c>
      <c r="G114" s="10">
        <v>46054</v>
      </c>
      <c r="H114" t="s">
        <v>36</v>
      </c>
      <c r="I114">
        <v>0.47099999999999997</v>
      </c>
      <c r="J114">
        <v>78212.2</v>
      </c>
      <c r="K114">
        <v>65620.03</v>
      </c>
      <c r="L114">
        <v>0.77900000000000003</v>
      </c>
      <c r="M114">
        <v>0.28899999999999998</v>
      </c>
      <c r="N114">
        <v>1.4999999999999999E-2</v>
      </c>
    </row>
    <row r="115" spans="1:14" x14ac:dyDescent="0.25">
      <c r="A115">
        <v>180</v>
      </c>
      <c r="B115" t="s">
        <v>15</v>
      </c>
      <c r="C115" t="s">
        <v>1</v>
      </c>
      <c r="D115" t="s">
        <v>2</v>
      </c>
      <c r="E115" t="s">
        <v>3</v>
      </c>
      <c r="F115" t="s">
        <v>4</v>
      </c>
      <c r="G115" s="10">
        <v>46053</v>
      </c>
      <c r="H115" t="s">
        <v>36</v>
      </c>
      <c r="I115">
        <v>4.3339999999999996</v>
      </c>
      <c r="J115">
        <v>2695.66</v>
      </c>
      <c r="K115">
        <v>2261.66</v>
      </c>
      <c r="L115">
        <v>0.76800000000000002</v>
      </c>
      <c r="M115">
        <v>2.9000000000000001E-2</v>
      </c>
      <c r="N115">
        <v>4.2999999999999997E-2</v>
      </c>
    </row>
    <row r="116" spans="1:14" x14ac:dyDescent="0.25">
      <c r="A116">
        <v>179</v>
      </c>
      <c r="B116" t="s">
        <v>26</v>
      </c>
      <c r="C116" t="s">
        <v>8</v>
      </c>
      <c r="D116" t="s">
        <v>2</v>
      </c>
      <c r="E116" t="s">
        <v>3</v>
      </c>
      <c r="F116" t="s">
        <v>4</v>
      </c>
      <c r="G116" s="10">
        <v>46052</v>
      </c>
      <c r="H116" t="s">
        <v>5</v>
      </c>
      <c r="I116">
        <v>0.71499999999999997</v>
      </c>
      <c r="J116">
        <v>2833.95</v>
      </c>
      <c r="K116">
        <v>2377.6799999999998</v>
      </c>
      <c r="L116">
        <v>0.89100000000000001</v>
      </c>
      <c r="M116">
        <v>0.39400000000000002</v>
      </c>
      <c r="N116">
        <v>4.5999999999999999E-2</v>
      </c>
    </row>
    <row r="117" spans="1:14" x14ac:dyDescent="0.25">
      <c r="A117">
        <v>178</v>
      </c>
      <c r="B117" t="s">
        <v>0</v>
      </c>
      <c r="C117" t="s">
        <v>1</v>
      </c>
      <c r="D117" t="s">
        <v>9</v>
      </c>
      <c r="E117" t="s">
        <v>3</v>
      </c>
      <c r="F117" t="s">
        <v>4</v>
      </c>
      <c r="G117" s="10">
        <v>46052</v>
      </c>
      <c r="H117" t="s">
        <v>36</v>
      </c>
      <c r="I117">
        <v>6.0000000000000001E-3</v>
      </c>
      <c r="J117">
        <v>84330.66</v>
      </c>
      <c r="K117">
        <v>70753.42</v>
      </c>
      <c r="L117">
        <v>0.64700000000000002</v>
      </c>
      <c r="M117">
        <v>0.155</v>
      </c>
      <c r="N117">
        <v>0.14299999999999999</v>
      </c>
    </row>
    <row r="118" spans="1:14" x14ac:dyDescent="0.25">
      <c r="A118">
        <v>177</v>
      </c>
      <c r="B118" t="s">
        <v>7</v>
      </c>
      <c r="C118" t="s">
        <v>22</v>
      </c>
      <c r="D118" t="s">
        <v>9</v>
      </c>
      <c r="E118" t="s">
        <v>12</v>
      </c>
      <c r="F118" t="s">
        <v>4</v>
      </c>
      <c r="G118" s="10">
        <v>46050</v>
      </c>
      <c r="H118" t="s">
        <v>36</v>
      </c>
      <c r="I118">
        <v>4.4999999999999998E-2</v>
      </c>
      <c r="J118">
        <v>88573.37</v>
      </c>
      <c r="K118">
        <v>73971.17</v>
      </c>
      <c r="L118">
        <v>0.56200000000000006</v>
      </c>
      <c r="M118">
        <v>2.3E-2</v>
      </c>
      <c r="N118">
        <v>7.6999999999999999E-2</v>
      </c>
    </row>
    <row r="119" spans="1:14" x14ac:dyDescent="0.25">
      <c r="A119">
        <v>176</v>
      </c>
      <c r="B119" t="s">
        <v>26</v>
      </c>
      <c r="C119" t="s">
        <v>22</v>
      </c>
      <c r="D119" t="s">
        <v>2</v>
      </c>
      <c r="E119" t="s">
        <v>12</v>
      </c>
      <c r="F119" t="s">
        <v>4</v>
      </c>
      <c r="G119" s="10">
        <v>46049</v>
      </c>
      <c r="H119" t="s">
        <v>36</v>
      </c>
      <c r="I119">
        <v>0.28299999999999997</v>
      </c>
      <c r="J119">
        <v>2920.83</v>
      </c>
      <c r="K119">
        <v>2448.5</v>
      </c>
      <c r="L119">
        <v>7.0999999999999994E-2</v>
      </c>
      <c r="M119">
        <v>0.246</v>
      </c>
      <c r="N119">
        <v>0.105</v>
      </c>
    </row>
    <row r="120" spans="1:14" x14ac:dyDescent="0.25">
      <c r="A120">
        <v>175</v>
      </c>
      <c r="B120" t="s">
        <v>26</v>
      </c>
      <c r="C120" t="s">
        <v>8</v>
      </c>
      <c r="D120" t="s">
        <v>9</v>
      </c>
      <c r="E120" t="s">
        <v>12</v>
      </c>
      <c r="F120" t="s">
        <v>4</v>
      </c>
      <c r="G120" s="10">
        <v>46046</v>
      </c>
      <c r="H120" t="s">
        <v>36</v>
      </c>
      <c r="I120">
        <v>1E-3</v>
      </c>
      <c r="J120">
        <v>88932.28</v>
      </c>
      <c r="K120">
        <v>75738.289999999994</v>
      </c>
      <c r="L120">
        <v>0.24199999999999999</v>
      </c>
      <c r="M120">
        <v>0.42199999999999999</v>
      </c>
      <c r="N120">
        <v>8.9999999999999993E-3</v>
      </c>
    </row>
    <row r="121" spans="1:14" x14ac:dyDescent="0.25">
      <c r="A121">
        <v>174</v>
      </c>
      <c r="B121" t="s">
        <v>0</v>
      </c>
      <c r="C121" t="s">
        <v>1</v>
      </c>
      <c r="D121" t="s">
        <v>9</v>
      </c>
      <c r="E121" t="s">
        <v>12</v>
      </c>
      <c r="F121" t="s">
        <v>4</v>
      </c>
      <c r="G121" s="10">
        <v>46045</v>
      </c>
      <c r="H121" t="s">
        <v>36</v>
      </c>
      <c r="I121">
        <v>4.2000000000000003E-2</v>
      </c>
      <c r="J121">
        <v>89258.1</v>
      </c>
      <c r="K121">
        <v>76015.759999999995</v>
      </c>
      <c r="L121">
        <v>0.97599999999999998</v>
      </c>
      <c r="M121">
        <v>1.4E-2</v>
      </c>
      <c r="N121">
        <v>2E-3</v>
      </c>
    </row>
    <row r="122" spans="1:14" x14ac:dyDescent="0.25">
      <c r="A122">
        <v>173</v>
      </c>
      <c r="B122" t="s">
        <v>11</v>
      </c>
      <c r="C122" t="s">
        <v>8</v>
      </c>
      <c r="D122" t="s">
        <v>2</v>
      </c>
      <c r="E122" t="s">
        <v>3</v>
      </c>
      <c r="F122" t="s">
        <v>4</v>
      </c>
      <c r="G122" s="10">
        <v>46043</v>
      </c>
      <c r="H122" t="s">
        <v>36</v>
      </c>
      <c r="I122">
        <v>0</v>
      </c>
      <c r="J122">
        <v>2921.45</v>
      </c>
      <c r="K122">
        <v>2488.67</v>
      </c>
      <c r="L122">
        <v>0.26500000000000001</v>
      </c>
      <c r="M122">
        <v>0.13900000000000001</v>
      </c>
      <c r="N122">
        <v>0.26900000000000002</v>
      </c>
    </row>
    <row r="123" spans="1:14" x14ac:dyDescent="0.25">
      <c r="A123">
        <v>172</v>
      </c>
      <c r="B123" t="s">
        <v>7</v>
      </c>
      <c r="C123" t="s">
        <v>1</v>
      </c>
      <c r="D123" t="s">
        <v>9</v>
      </c>
      <c r="E123" t="s">
        <v>3</v>
      </c>
      <c r="F123" t="s">
        <v>4</v>
      </c>
      <c r="G123" s="10">
        <v>46043</v>
      </c>
      <c r="H123" t="s">
        <v>5</v>
      </c>
      <c r="I123">
        <v>5.0999999999999997E-2</v>
      </c>
      <c r="J123">
        <v>89050.43</v>
      </c>
      <c r="K123">
        <v>75858.5</v>
      </c>
      <c r="L123">
        <v>0.91900000000000004</v>
      </c>
      <c r="M123">
        <v>0.30599999999999999</v>
      </c>
      <c r="N123">
        <v>0.11700000000000001</v>
      </c>
    </row>
    <row r="124" spans="1:14" x14ac:dyDescent="0.25">
      <c r="A124">
        <v>171</v>
      </c>
      <c r="B124" t="s">
        <v>7</v>
      </c>
      <c r="C124" t="s">
        <v>8</v>
      </c>
      <c r="D124" t="s">
        <v>2</v>
      </c>
      <c r="E124" t="s">
        <v>12</v>
      </c>
      <c r="F124" t="s">
        <v>4</v>
      </c>
      <c r="G124" s="10">
        <v>46042</v>
      </c>
      <c r="H124" t="s">
        <v>36</v>
      </c>
      <c r="I124">
        <v>0.38700000000000001</v>
      </c>
      <c r="J124">
        <v>3163.41</v>
      </c>
      <c r="K124">
        <v>2697.32</v>
      </c>
      <c r="L124">
        <v>8.6999999999999994E-2</v>
      </c>
      <c r="M124">
        <v>0.20499999999999999</v>
      </c>
      <c r="N124">
        <v>0.13700000000000001</v>
      </c>
    </row>
    <row r="125" spans="1:14" x14ac:dyDescent="0.25">
      <c r="A125">
        <v>170</v>
      </c>
      <c r="B125" t="s">
        <v>7</v>
      </c>
      <c r="C125" t="s">
        <v>1</v>
      </c>
      <c r="D125" t="s">
        <v>2</v>
      </c>
      <c r="E125" t="s">
        <v>3</v>
      </c>
      <c r="F125" t="s">
        <v>4</v>
      </c>
      <c r="G125" s="10">
        <v>46041</v>
      </c>
      <c r="H125" t="s">
        <v>5</v>
      </c>
      <c r="I125">
        <v>2.419</v>
      </c>
      <c r="J125">
        <v>3302.8</v>
      </c>
      <c r="K125">
        <v>2839.65</v>
      </c>
      <c r="L125">
        <v>0.377</v>
      </c>
      <c r="M125">
        <v>0.26500000000000001</v>
      </c>
      <c r="N125">
        <v>0.22700000000000001</v>
      </c>
    </row>
    <row r="126" spans="1:14" x14ac:dyDescent="0.25">
      <c r="A126">
        <v>169</v>
      </c>
      <c r="B126" t="s">
        <v>26</v>
      </c>
      <c r="C126" t="s">
        <v>22</v>
      </c>
      <c r="D126" t="s">
        <v>2</v>
      </c>
      <c r="E126" t="s">
        <v>12</v>
      </c>
      <c r="F126" t="s">
        <v>4</v>
      </c>
      <c r="G126" s="10">
        <v>46039</v>
      </c>
      <c r="H126" t="s">
        <v>5</v>
      </c>
      <c r="I126">
        <v>1.6739999999999999</v>
      </c>
      <c r="J126">
        <v>3327.46</v>
      </c>
      <c r="K126">
        <v>2864.31</v>
      </c>
      <c r="L126">
        <v>0.96899999999999997</v>
      </c>
      <c r="M126">
        <v>0.28399999999999997</v>
      </c>
      <c r="N126">
        <v>0.16200000000000001</v>
      </c>
    </row>
    <row r="127" spans="1:14" x14ac:dyDescent="0.25">
      <c r="A127">
        <v>168</v>
      </c>
      <c r="B127" t="s">
        <v>7</v>
      </c>
      <c r="C127" t="s">
        <v>1</v>
      </c>
      <c r="D127" t="s">
        <v>2</v>
      </c>
      <c r="E127" t="s">
        <v>12</v>
      </c>
      <c r="F127" t="s">
        <v>4</v>
      </c>
      <c r="G127" s="10">
        <v>46037</v>
      </c>
      <c r="H127" t="s">
        <v>36</v>
      </c>
      <c r="I127">
        <v>0.53400000000000003</v>
      </c>
      <c r="J127">
        <v>3323.95</v>
      </c>
      <c r="K127">
        <v>2859.56</v>
      </c>
      <c r="L127">
        <v>0.995</v>
      </c>
      <c r="M127">
        <v>0.30399999999999999</v>
      </c>
      <c r="N127">
        <v>0.19600000000000001</v>
      </c>
    </row>
    <row r="128" spans="1:14" x14ac:dyDescent="0.25">
      <c r="A128">
        <v>167</v>
      </c>
      <c r="B128" t="s">
        <v>15</v>
      </c>
      <c r="C128" t="s">
        <v>22</v>
      </c>
      <c r="D128" t="s">
        <v>9</v>
      </c>
      <c r="E128" t="s">
        <v>12</v>
      </c>
      <c r="F128" t="s">
        <v>4</v>
      </c>
      <c r="G128" s="10">
        <v>46037</v>
      </c>
      <c r="H128" t="s">
        <v>36</v>
      </c>
      <c r="I128">
        <v>0.14399999999999999</v>
      </c>
      <c r="J128">
        <v>96323.44</v>
      </c>
      <c r="K128">
        <v>82866.09</v>
      </c>
      <c r="L128">
        <v>0.26700000000000002</v>
      </c>
      <c r="M128">
        <v>0.34699999999999998</v>
      </c>
      <c r="N128">
        <v>0.16900000000000001</v>
      </c>
    </row>
    <row r="129" spans="1:14" x14ac:dyDescent="0.25">
      <c r="A129">
        <v>166</v>
      </c>
      <c r="B129" t="s">
        <v>26</v>
      </c>
      <c r="C129" t="s">
        <v>8</v>
      </c>
      <c r="D129" t="s">
        <v>2</v>
      </c>
      <c r="E129" t="s">
        <v>3</v>
      </c>
      <c r="F129" t="s">
        <v>4</v>
      </c>
      <c r="G129" s="10">
        <v>46035</v>
      </c>
      <c r="H129" t="s">
        <v>36</v>
      </c>
      <c r="I129">
        <v>0.76900000000000002</v>
      </c>
      <c r="J129">
        <v>3073.54</v>
      </c>
      <c r="K129">
        <v>2637.32</v>
      </c>
      <c r="L129">
        <v>0.42099999999999999</v>
      </c>
      <c r="M129">
        <v>0.35099999999999998</v>
      </c>
      <c r="N129">
        <v>6.4000000000000001E-2</v>
      </c>
    </row>
    <row r="130" spans="1:14" x14ac:dyDescent="0.25">
      <c r="A130">
        <v>165</v>
      </c>
      <c r="B130" t="s">
        <v>11</v>
      </c>
      <c r="C130" t="s">
        <v>22</v>
      </c>
      <c r="D130" t="s">
        <v>2</v>
      </c>
      <c r="E130" t="s">
        <v>12</v>
      </c>
      <c r="F130" t="s">
        <v>4</v>
      </c>
      <c r="G130" s="10">
        <v>46034</v>
      </c>
      <c r="H130" t="s">
        <v>5</v>
      </c>
      <c r="I130">
        <v>4.3730000000000002</v>
      </c>
      <c r="J130">
        <v>3124.9</v>
      </c>
      <c r="K130">
        <v>2672.7</v>
      </c>
      <c r="L130">
        <v>0.76200000000000001</v>
      </c>
      <c r="M130">
        <v>0.19600000000000001</v>
      </c>
      <c r="N130">
        <v>7.4999999999999997E-2</v>
      </c>
    </row>
    <row r="131" spans="1:14" x14ac:dyDescent="0.25">
      <c r="A131">
        <v>164</v>
      </c>
      <c r="B131" t="s">
        <v>11</v>
      </c>
      <c r="C131" t="s">
        <v>8</v>
      </c>
      <c r="D131" t="s">
        <v>2</v>
      </c>
      <c r="E131" t="s">
        <v>3</v>
      </c>
      <c r="F131" t="s">
        <v>4</v>
      </c>
      <c r="G131" s="10">
        <v>46033</v>
      </c>
      <c r="H131" t="s">
        <v>36</v>
      </c>
      <c r="I131">
        <v>0</v>
      </c>
      <c r="J131">
        <v>3067.82</v>
      </c>
      <c r="K131">
        <v>2635.13</v>
      </c>
      <c r="L131">
        <v>2.1999999999999999E-2</v>
      </c>
      <c r="M131">
        <v>1.0999999999999999E-2</v>
      </c>
      <c r="N131">
        <v>0.27200000000000002</v>
      </c>
    </row>
    <row r="132" spans="1:14" x14ac:dyDescent="0.25">
      <c r="A132">
        <v>163</v>
      </c>
      <c r="B132" t="s">
        <v>18</v>
      </c>
      <c r="C132" t="s">
        <v>1</v>
      </c>
      <c r="D132" t="s">
        <v>9</v>
      </c>
      <c r="E132" t="s">
        <v>12</v>
      </c>
      <c r="F132" t="s">
        <v>4</v>
      </c>
      <c r="G132" s="10">
        <v>46033</v>
      </c>
      <c r="H132" t="s">
        <v>5</v>
      </c>
      <c r="I132">
        <v>0.23100000000000001</v>
      </c>
      <c r="J132">
        <v>90923.21</v>
      </c>
      <c r="K132">
        <v>78099.399999999994</v>
      </c>
      <c r="L132">
        <v>0.69499999999999995</v>
      </c>
      <c r="M132">
        <v>0.495</v>
      </c>
      <c r="N132">
        <v>1.2E-2</v>
      </c>
    </row>
    <row r="133" spans="1:14" x14ac:dyDescent="0.25">
      <c r="A133">
        <v>162</v>
      </c>
      <c r="B133" t="s">
        <v>18</v>
      </c>
      <c r="C133" t="s">
        <v>1</v>
      </c>
      <c r="D133" t="s">
        <v>2</v>
      </c>
      <c r="E133" t="s">
        <v>3</v>
      </c>
      <c r="F133" t="s">
        <v>4</v>
      </c>
      <c r="G133" s="10">
        <v>46032</v>
      </c>
      <c r="H133" t="s">
        <v>5</v>
      </c>
      <c r="I133">
        <v>0.76500000000000001</v>
      </c>
      <c r="J133">
        <v>3112.63</v>
      </c>
      <c r="K133">
        <v>2673.62</v>
      </c>
      <c r="L133">
        <v>0.90100000000000002</v>
      </c>
      <c r="M133">
        <v>4.1000000000000002E-2</v>
      </c>
      <c r="N133">
        <v>0.20499999999999999</v>
      </c>
    </row>
    <row r="134" spans="1:14" x14ac:dyDescent="0.25">
      <c r="A134">
        <v>161</v>
      </c>
      <c r="B134" t="s">
        <v>26</v>
      </c>
      <c r="C134" t="s">
        <v>8</v>
      </c>
      <c r="D134" t="s">
        <v>2</v>
      </c>
      <c r="E134" t="s">
        <v>3</v>
      </c>
      <c r="F134" t="s">
        <v>4</v>
      </c>
      <c r="G134" s="10">
        <v>46025</v>
      </c>
      <c r="H134" t="s">
        <v>36</v>
      </c>
      <c r="I134">
        <v>3.7890000000000001</v>
      </c>
      <c r="J134">
        <v>3104.87</v>
      </c>
      <c r="K134">
        <v>2648.99</v>
      </c>
      <c r="L134">
        <v>0.38500000000000001</v>
      </c>
      <c r="M134">
        <v>0.40400000000000003</v>
      </c>
      <c r="N134">
        <v>0.20799999999999999</v>
      </c>
    </row>
    <row r="135" spans="1:14" x14ac:dyDescent="0.25">
      <c r="A135">
        <v>160</v>
      </c>
      <c r="B135" t="s">
        <v>7</v>
      </c>
      <c r="C135" t="s">
        <v>1</v>
      </c>
      <c r="D135" t="s">
        <v>2</v>
      </c>
      <c r="E135" t="s">
        <v>3</v>
      </c>
      <c r="F135" t="s">
        <v>4</v>
      </c>
      <c r="G135" s="10">
        <v>46024</v>
      </c>
      <c r="H135" t="s">
        <v>5</v>
      </c>
      <c r="I135">
        <v>3.5150000000000001</v>
      </c>
      <c r="J135">
        <v>3028.02</v>
      </c>
      <c r="K135">
        <v>2583.41</v>
      </c>
      <c r="L135">
        <v>0.88900000000000001</v>
      </c>
      <c r="M135">
        <v>0.39600000000000002</v>
      </c>
      <c r="N135">
        <v>0.253</v>
      </c>
    </row>
    <row r="136" spans="1:14" x14ac:dyDescent="0.25">
      <c r="A136">
        <v>159</v>
      </c>
      <c r="B136" t="s">
        <v>7</v>
      </c>
      <c r="C136" t="s">
        <v>22</v>
      </c>
      <c r="D136" t="s">
        <v>9</v>
      </c>
      <c r="E136" t="s">
        <v>3</v>
      </c>
      <c r="F136" t="s">
        <v>4</v>
      </c>
      <c r="G136" s="10">
        <v>46023</v>
      </c>
      <c r="H136" t="s">
        <v>36</v>
      </c>
      <c r="I136">
        <v>1.0999999999999999E-2</v>
      </c>
      <c r="J136">
        <v>86878.21</v>
      </c>
      <c r="K136">
        <v>73938.570000000007</v>
      </c>
      <c r="L136">
        <v>0.312</v>
      </c>
      <c r="M136">
        <v>0.39900000000000002</v>
      </c>
      <c r="N136">
        <v>0.17899999999999999</v>
      </c>
    </row>
    <row r="137" spans="1:14" x14ac:dyDescent="0.25">
      <c r="A137">
        <v>158</v>
      </c>
      <c r="B137" t="s">
        <v>11</v>
      </c>
      <c r="C137" t="s">
        <v>8</v>
      </c>
      <c r="D137" t="s">
        <v>2</v>
      </c>
      <c r="E137" t="s">
        <v>12</v>
      </c>
      <c r="F137" t="s">
        <v>4</v>
      </c>
      <c r="G137" s="10">
        <v>46020</v>
      </c>
      <c r="H137" t="s">
        <v>36</v>
      </c>
      <c r="I137">
        <v>9.4E-2</v>
      </c>
      <c r="J137">
        <v>2926.87</v>
      </c>
      <c r="K137">
        <v>2487.58</v>
      </c>
      <c r="L137">
        <v>0.443</v>
      </c>
      <c r="M137">
        <v>0.29099999999999998</v>
      </c>
      <c r="N137">
        <v>3.6999999999999998E-2</v>
      </c>
    </row>
    <row r="138" spans="1:14" x14ac:dyDescent="0.25">
      <c r="A138">
        <v>157</v>
      </c>
      <c r="B138" t="s">
        <v>15</v>
      </c>
      <c r="C138" t="s">
        <v>22</v>
      </c>
      <c r="D138" t="s">
        <v>2</v>
      </c>
      <c r="E138" t="s">
        <v>12</v>
      </c>
      <c r="F138" t="s">
        <v>4</v>
      </c>
      <c r="G138" s="10">
        <v>46019</v>
      </c>
      <c r="H138" t="s">
        <v>5</v>
      </c>
      <c r="I138">
        <v>3.504</v>
      </c>
      <c r="J138">
        <v>2966.23</v>
      </c>
      <c r="K138">
        <v>2516.52</v>
      </c>
      <c r="L138">
        <v>0.76800000000000002</v>
      </c>
      <c r="M138">
        <v>0.23899999999999999</v>
      </c>
      <c r="N138">
        <v>0.10100000000000001</v>
      </c>
    </row>
    <row r="139" spans="1:14" x14ac:dyDescent="0.25">
      <c r="A139">
        <v>156</v>
      </c>
      <c r="B139" t="s">
        <v>18</v>
      </c>
      <c r="C139" t="s">
        <v>1</v>
      </c>
      <c r="D139" t="s">
        <v>9</v>
      </c>
      <c r="E139" t="s">
        <v>3</v>
      </c>
      <c r="F139" t="s">
        <v>4</v>
      </c>
      <c r="G139" s="10">
        <v>46017</v>
      </c>
      <c r="H139" t="s">
        <v>36</v>
      </c>
      <c r="I139">
        <v>1.4E-2</v>
      </c>
      <c r="J139">
        <v>87108.160000000003</v>
      </c>
      <c r="K139">
        <v>73901.69</v>
      </c>
      <c r="L139">
        <v>0.64300000000000002</v>
      </c>
      <c r="M139">
        <v>0.33900000000000002</v>
      </c>
      <c r="N139">
        <v>1E-3</v>
      </c>
    </row>
    <row r="140" spans="1:14" x14ac:dyDescent="0.25">
      <c r="A140">
        <v>155</v>
      </c>
      <c r="B140" t="s">
        <v>7</v>
      </c>
      <c r="C140" t="s">
        <v>22</v>
      </c>
      <c r="D140" t="s">
        <v>9</v>
      </c>
      <c r="E140" t="s">
        <v>12</v>
      </c>
      <c r="F140" t="s">
        <v>4</v>
      </c>
      <c r="G140" s="10">
        <v>46012</v>
      </c>
      <c r="H140" t="s">
        <v>36</v>
      </c>
      <c r="I140">
        <v>0.38600000000000001</v>
      </c>
      <c r="J140">
        <v>87903.73</v>
      </c>
      <c r="K140">
        <v>75054.850000000006</v>
      </c>
      <c r="L140">
        <v>0.252</v>
      </c>
      <c r="M140">
        <v>1.2999999999999999E-2</v>
      </c>
      <c r="N140">
        <v>0.20699999999999999</v>
      </c>
    </row>
    <row r="141" spans="1:14" x14ac:dyDescent="0.25">
      <c r="A141">
        <v>154</v>
      </c>
      <c r="B141" t="s">
        <v>7</v>
      </c>
      <c r="C141" t="s">
        <v>8</v>
      </c>
      <c r="D141" t="s">
        <v>2</v>
      </c>
      <c r="E141" t="s">
        <v>3</v>
      </c>
      <c r="F141" t="s">
        <v>4</v>
      </c>
      <c r="G141" s="10">
        <v>46011</v>
      </c>
      <c r="H141" t="s">
        <v>5</v>
      </c>
      <c r="I141">
        <v>2.9529999999999998</v>
      </c>
      <c r="J141">
        <v>3001.66</v>
      </c>
      <c r="K141">
        <v>2562.9</v>
      </c>
      <c r="L141">
        <v>0.36499999999999999</v>
      </c>
      <c r="M141">
        <v>0.10199999999999999</v>
      </c>
      <c r="N141">
        <v>0.11899999999999999</v>
      </c>
    </row>
    <row r="142" spans="1:14" x14ac:dyDescent="0.25">
      <c r="A142">
        <v>153</v>
      </c>
      <c r="B142" t="s">
        <v>18</v>
      </c>
      <c r="C142" t="s">
        <v>22</v>
      </c>
      <c r="D142" t="s">
        <v>9</v>
      </c>
      <c r="E142" t="s">
        <v>12</v>
      </c>
      <c r="F142" t="s">
        <v>4</v>
      </c>
      <c r="G142" s="10">
        <v>46011</v>
      </c>
      <c r="H142" t="s">
        <v>5</v>
      </c>
      <c r="I142">
        <v>0.35299999999999998</v>
      </c>
      <c r="J142">
        <v>88386.4</v>
      </c>
      <c r="K142">
        <v>75466.960000000006</v>
      </c>
      <c r="L142">
        <v>0.57899999999999996</v>
      </c>
      <c r="M142">
        <v>0.17100000000000001</v>
      </c>
      <c r="N142">
        <v>0.121</v>
      </c>
    </row>
    <row r="143" spans="1:14" x14ac:dyDescent="0.25">
      <c r="A143">
        <v>152</v>
      </c>
      <c r="B143" t="s">
        <v>15</v>
      </c>
      <c r="C143" t="s">
        <v>22</v>
      </c>
      <c r="D143" t="s">
        <v>2</v>
      </c>
      <c r="E143" t="s">
        <v>12</v>
      </c>
      <c r="F143" t="s">
        <v>4</v>
      </c>
      <c r="G143" s="10">
        <v>46005</v>
      </c>
      <c r="H143" t="s">
        <v>36</v>
      </c>
      <c r="I143">
        <v>5.8000000000000003E-2</v>
      </c>
      <c r="J143">
        <v>3093.55</v>
      </c>
      <c r="K143">
        <v>2637.06</v>
      </c>
      <c r="L143">
        <v>0.23599999999999999</v>
      </c>
      <c r="M143">
        <v>0.16800000000000001</v>
      </c>
      <c r="N143">
        <v>0.158</v>
      </c>
    </row>
    <row r="144" spans="1:14" x14ac:dyDescent="0.25">
      <c r="A144">
        <v>151</v>
      </c>
      <c r="B144" t="s">
        <v>18</v>
      </c>
      <c r="C144" t="s">
        <v>22</v>
      </c>
      <c r="D144" t="s">
        <v>2</v>
      </c>
      <c r="E144" t="s">
        <v>3</v>
      </c>
      <c r="F144" t="s">
        <v>4</v>
      </c>
      <c r="G144" s="10">
        <v>46004</v>
      </c>
      <c r="H144" t="s">
        <v>5</v>
      </c>
      <c r="I144">
        <v>0.314</v>
      </c>
      <c r="J144">
        <v>3104.36</v>
      </c>
      <c r="K144">
        <v>2646.28</v>
      </c>
      <c r="L144">
        <v>0.64300000000000002</v>
      </c>
      <c r="M144">
        <v>0.27300000000000002</v>
      </c>
      <c r="N144">
        <v>0.23799999999999999</v>
      </c>
    </row>
    <row r="145" spans="1:14" x14ac:dyDescent="0.25">
      <c r="A145">
        <v>150</v>
      </c>
      <c r="B145" t="s">
        <v>0</v>
      </c>
      <c r="C145" t="s">
        <v>1</v>
      </c>
      <c r="D145" t="s">
        <v>9</v>
      </c>
      <c r="E145" t="s">
        <v>12</v>
      </c>
      <c r="F145" t="s">
        <v>4</v>
      </c>
      <c r="G145" s="10">
        <v>46002</v>
      </c>
      <c r="H145" t="s">
        <v>36</v>
      </c>
      <c r="I145">
        <v>0.17199999999999999</v>
      </c>
      <c r="J145">
        <v>91408.61</v>
      </c>
      <c r="K145">
        <v>78033.7</v>
      </c>
      <c r="L145">
        <v>0.96699999999999997</v>
      </c>
      <c r="M145">
        <v>1.9E-2</v>
      </c>
      <c r="N145">
        <v>0.193</v>
      </c>
    </row>
    <row r="146" spans="1:14" x14ac:dyDescent="0.25">
      <c r="A146">
        <v>149</v>
      </c>
      <c r="B146" t="s">
        <v>26</v>
      </c>
      <c r="C146" t="s">
        <v>8</v>
      </c>
      <c r="D146" t="s">
        <v>9</v>
      </c>
      <c r="E146" t="s">
        <v>3</v>
      </c>
      <c r="F146" t="s">
        <v>4</v>
      </c>
      <c r="G146" s="10">
        <v>45998</v>
      </c>
      <c r="H146" t="s">
        <v>36</v>
      </c>
      <c r="I146">
        <v>7.3999999999999996E-2</v>
      </c>
      <c r="J146">
        <v>88396.56</v>
      </c>
      <c r="K146">
        <v>75909.66</v>
      </c>
      <c r="L146">
        <v>4.3999999999999997E-2</v>
      </c>
      <c r="M146">
        <v>0.187</v>
      </c>
      <c r="N146">
        <v>0.11600000000000001</v>
      </c>
    </row>
    <row r="147" spans="1:14" x14ac:dyDescent="0.25">
      <c r="A147">
        <v>148</v>
      </c>
      <c r="B147" t="s">
        <v>0</v>
      </c>
      <c r="C147" t="s">
        <v>8</v>
      </c>
      <c r="D147" t="s">
        <v>9</v>
      </c>
      <c r="E147" t="s">
        <v>3</v>
      </c>
      <c r="F147" t="s">
        <v>4</v>
      </c>
      <c r="G147" s="10">
        <v>45995</v>
      </c>
      <c r="H147" t="s">
        <v>5</v>
      </c>
      <c r="I147">
        <v>8.1000000000000003E-2</v>
      </c>
      <c r="J147">
        <v>94065.33</v>
      </c>
      <c r="K147">
        <v>80631.86</v>
      </c>
      <c r="L147">
        <v>0.50800000000000001</v>
      </c>
      <c r="M147">
        <v>0.16400000000000001</v>
      </c>
      <c r="N147">
        <v>0.158</v>
      </c>
    </row>
    <row r="148" spans="1:14" x14ac:dyDescent="0.25">
      <c r="A148">
        <v>147</v>
      </c>
      <c r="B148" t="s">
        <v>18</v>
      </c>
      <c r="C148" t="s">
        <v>8</v>
      </c>
      <c r="D148" t="s">
        <v>9</v>
      </c>
      <c r="E148" t="s">
        <v>3</v>
      </c>
      <c r="F148" t="s">
        <v>4</v>
      </c>
      <c r="G148" s="10">
        <v>45994</v>
      </c>
      <c r="H148" t="s">
        <v>36</v>
      </c>
      <c r="I148">
        <v>2E-3</v>
      </c>
      <c r="J148">
        <v>90839.28</v>
      </c>
      <c r="K148">
        <v>77852.899999999994</v>
      </c>
      <c r="L148">
        <v>0.21299999999999999</v>
      </c>
      <c r="M148">
        <v>0.20499999999999999</v>
      </c>
      <c r="N148">
        <v>1.4999999999999999E-2</v>
      </c>
    </row>
    <row r="149" spans="1:14" x14ac:dyDescent="0.25">
      <c r="A149">
        <v>146</v>
      </c>
      <c r="B149" t="s">
        <v>15</v>
      </c>
      <c r="C149" t="s">
        <v>22</v>
      </c>
      <c r="D149" t="s">
        <v>9</v>
      </c>
      <c r="E149" t="s">
        <v>3</v>
      </c>
      <c r="F149" t="s">
        <v>4</v>
      </c>
      <c r="G149" s="10">
        <v>45993</v>
      </c>
      <c r="H149" t="s">
        <v>5</v>
      </c>
      <c r="I149">
        <v>0.28399999999999997</v>
      </c>
      <c r="J149">
        <v>86867.23</v>
      </c>
      <c r="K149">
        <v>74795.28</v>
      </c>
      <c r="L149">
        <v>0.49099999999999999</v>
      </c>
      <c r="M149">
        <v>0.23899999999999999</v>
      </c>
      <c r="N149">
        <v>0.26500000000000001</v>
      </c>
    </row>
    <row r="150" spans="1:14" x14ac:dyDescent="0.25">
      <c r="A150">
        <v>145</v>
      </c>
      <c r="B150" t="s">
        <v>0</v>
      </c>
      <c r="C150" t="s">
        <v>1</v>
      </c>
      <c r="D150" t="s">
        <v>2</v>
      </c>
      <c r="E150" t="s">
        <v>12</v>
      </c>
      <c r="F150" t="s">
        <v>4</v>
      </c>
      <c r="G150" s="10">
        <v>45991</v>
      </c>
      <c r="H150" t="s">
        <v>36</v>
      </c>
      <c r="I150">
        <v>0.317</v>
      </c>
      <c r="J150">
        <v>2970.61</v>
      </c>
      <c r="K150">
        <v>2568.39</v>
      </c>
      <c r="L150">
        <v>0.80600000000000005</v>
      </c>
      <c r="M150">
        <v>0.42599999999999999</v>
      </c>
      <c r="N150">
        <v>2.4E-2</v>
      </c>
    </row>
    <row r="151" spans="1:14" x14ac:dyDescent="0.25">
      <c r="A151">
        <v>144</v>
      </c>
      <c r="B151" t="s">
        <v>7</v>
      </c>
      <c r="C151" t="s">
        <v>22</v>
      </c>
      <c r="D151" t="s">
        <v>9</v>
      </c>
      <c r="E151" t="s">
        <v>3</v>
      </c>
      <c r="F151" t="s">
        <v>4</v>
      </c>
      <c r="G151" s="10">
        <v>45991</v>
      </c>
      <c r="H151" t="s">
        <v>5</v>
      </c>
      <c r="I151">
        <v>0.35099999999999998</v>
      </c>
      <c r="J151">
        <v>91531.34</v>
      </c>
      <c r="K151">
        <v>79138</v>
      </c>
      <c r="L151">
        <v>0.995</v>
      </c>
      <c r="M151">
        <v>0.104</v>
      </c>
      <c r="N151">
        <v>0.28899999999999998</v>
      </c>
    </row>
    <row r="152" spans="1:14" x14ac:dyDescent="0.25">
      <c r="A152">
        <v>143</v>
      </c>
      <c r="B152" t="s">
        <v>11</v>
      </c>
      <c r="C152" t="s">
        <v>8</v>
      </c>
      <c r="D152" t="s">
        <v>9</v>
      </c>
      <c r="E152" t="s">
        <v>3</v>
      </c>
      <c r="F152" t="s">
        <v>4</v>
      </c>
      <c r="G152" s="10">
        <v>45988</v>
      </c>
      <c r="H152" t="s">
        <v>5</v>
      </c>
      <c r="I152">
        <v>0.39300000000000002</v>
      </c>
      <c r="J152">
        <v>91212.75</v>
      </c>
      <c r="K152">
        <v>78726.64</v>
      </c>
      <c r="L152">
        <v>0.64200000000000002</v>
      </c>
      <c r="M152">
        <v>3.6999999999999998E-2</v>
      </c>
      <c r="N152">
        <v>9.5000000000000001E-2</v>
      </c>
    </row>
    <row r="153" spans="1:14" x14ac:dyDescent="0.25">
      <c r="A153">
        <v>142</v>
      </c>
      <c r="B153" t="s">
        <v>15</v>
      </c>
      <c r="C153" t="s">
        <v>22</v>
      </c>
      <c r="D153" t="s">
        <v>9</v>
      </c>
      <c r="E153" t="s">
        <v>3</v>
      </c>
      <c r="F153" t="s">
        <v>4</v>
      </c>
      <c r="G153" s="10">
        <v>45987</v>
      </c>
      <c r="H153" t="s">
        <v>5</v>
      </c>
      <c r="I153">
        <v>0.35099999999999998</v>
      </c>
      <c r="J153">
        <v>87944.16</v>
      </c>
      <c r="K153">
        <v>75964.41</v>
      </c>
      <c r="L153">
        <v>0.65800000000000003</v>
      </c>
      <c r="M153">
        <v>0.35899999999999999</v>
      </c>
      <c r="N153">
        <v>0.191</v>
      </c>
    </row>
    <row r="154" spans="1:14" x14ac:dyDescent="0.25">
      <c r="A154">
        <v>141</v>
      </c>
      <c r="B154" t="s">
        <v>7</v>
      </c>
      <c r="C154" t="s">
        <v>8</v>
      </c>
      <c r="D154" t="s">
        <v>2</v>
      </c>
      <c r="E154" t="s">
        <v>12</v>
      </c>
      <c r="F154" t="s">
        <v>4</v>
      </c>
      <c r="G154" s="10">
        <v>45984</v>
      </c>
      <c r="H154" t="s">
        <v>5</v>
      </c>
      <c r="I154">
        <v>0.57399999999999995</v>
      </c>
      <c r="J154">
        <v>2786.25</v>
      </c>
      <c r="K154">
        <v>2418.63</v>
      </c>
      <c r="L154">
        <v>0.40200000000000002</v>
      </c>
      <c r="M154">
        <v>0.16800000000000001</v>
      </c>
      <c r="N154">
        <v>5.1999999999999998E-2</v>
      </c>
    </row>
    <row r="155" spans="1:14" x14ac:dyDescent="0.25">
      <c r="A155">
        <v>140</v>
      </c>
      <c r="B155" t="s">
        <v>0</v>
      </c>
      <c r="C155" t="s">
        <v>22</v>
      </c>
      <c r="D155" t="s">
        <v>2</v>
      </c>
      <c r="E155" t="s">
        <v>12</v>
      </c>
      <c r="F155" t="s">
        <v>4</v>
      </c>
      <c r="G155" s="10">
        <v>45983</v>
      </c>
      <c r="H155" t="s">
        <v>5</v>
      </c>
      <c r="I155">
        <v>0.188</v>
      </c>
      <c r="J155">
        <v>2768.97</v>
      </c>
      <c r="K155">
        <v>2403.63</v>
      </c>
      <c r="L155">
        <v>0.64700000000000002</v>
      </c>
      <c r="M155">
        <v>0.39600000000000002</v>
      </c>
      <c r="N155">
        <v>8.6999999999999994E-2</v>
      </c>
    </row>
    <row r="156" spans="1:14" x14ac:dyDescent="0.25">
      <c r="A156">
        <v>139</v>
      </c>
      <c r="B156" t="s">
        <v>11</v>
      </c>
      <c r="C156" t="s">
        <v>1</v>
      </c>
      <c r="D156" t="s">
        <v>2</v>
      </c>
      <c r="E156" t="s">
        <v>3</v>
      </c>
      <c r="F156" t="s">
        <v>4</v>
      </c>
      <c r="G156" s="10">
        <v>45982</v>
      </c>
      <c r="H156" t="s">
        <v>5</v>
      </c>
      <c r="I156">
        <v>0.19400000000000001</v>
      </c>
      <c r="J156">
        <v>2847.19</v>
      </c>
      <c r="K156">
        <v>2471.5300000000002</v>
      </c>
      <c r="L156">
        <v>0.50800000000000001</v>
      </c>
      <c r="M156">
        <v>0.371</v>
      </c>
      <c r="N156">
        <v>8.9999999999999993E-3</v>
      </c>
    </row>
    <row r="157" spans="1:14" x14ac:dyDescent="0.25">
      <c r="A157">
        <v>138</v>
      </c>
      <c r="B157" t="s">
        <v>26</v>
      </c>
      <c r="C157" t="s">
        <v>8</v>
      </c>
      <c r="D157" t="s">
        <v>9</v>
      </c>
      <c r="E157" t="s">
        <v>3</v>
      </c>
      <c r="F157" t="s">
        <v>4</v>
      </c>
      <c r="G157" s="10">
        <v>45982</v>
      </c>
      <c r="H157" t="s">
        <v>5</v>
      </c>
      <c r="I157">
        <v>8.6999999999999994E-2</v>
      </c>
      <c r="J157">
        <v>87319.33</v>
      </c>
      <c r="K157">
        <v>75798.42</v>
      </c>
      <c r="L157">
        <v>0.501</v>
      </c>
      <c r="M157">
        <v>0.36099999999999999</v>
      </c>
      <c r="N157">
        <v>0.104</v>
      </c>
    </row>
    <row r="158" spans="1:14" x14ac:dyDescent="0.25">
      <c r="A158">
        <v>137</v>
      </c>
      <c r="B158" t="s">
        <v>18</v>
      </c>
      <c r="C158" t="s">
        <v>1</v>
      </c>
      <c r="D158" t="s">
        <v>9</v>
      </c>
      <c r="E158" t="s">
        <v>12</v>
      </c>
      <c r="F158" t="s">
        <v>4</v>
      </c>
      <c r="G158" s="10">
        <v>45980</v>
      </c>
      <c r="H158" t="s">
        <v>36</v>
      </c>
      <c r="I158">
        <v>0.40100000000000002</v>
      </c>
      <c r="J158">
        <v>92225.3</v>
      </c>
      <c r="K158">
        <v>79620.87</v>
      </c>
      <c r="L158">
        <v>0.51600000000000001</v>
      </c>
      <c r="M158">
        <v>0.32200000000000001</v>
      </c>
      <c r="N158">
        <v>0.23200000000000001</v>
      </c>
    </row>
    <row r="159" spans="1:14" x14ac:dyDescent="0.25">
      <c r="A159">
        <v>136</v>
      </c>
      <c r="B159" t="s">
        <v>0</v>
      </c>
      <c r="C159" t="s">
        <v>8</v>
      </c>
      <c r="D159" t="s">
        <v>9</v>
      </c>
      <c r="E159" t="s">
        <v>12</v>
      </c>
      <c r="F159" t="s">
        <v>4</v>
      </c>
      <c r="G159" s="10">
        <v>45979</v>
      </c>
      <c r="H159" t="s">
        <v>36</v>
      </c>
      <c r="I159">
        <v>1.0999999999999999E-2</v>
      </c>
      <c r="J159">
        <v>91218.65</v>
      </c>
      <c r="K159">
        <v>78704.36</v>
      </c>
      <c r="L159">
        <v>0.74199999999999999</v>
      </c>
      <c r="M159">
        <v>0.36299999999999999</v>
      </c>
      <c r="N159">
        <v>9.6000000000000002E-2</v>
      </c>
    </row>
    <row r="160" spans="1:14" x14ac:dyDescent="0.25">
      <c r="A160">
        <v>135</v>
      </c>
      <c r="B160" t="s">
        <v>18</v>
      </c>
      <c r="C160" t="s">
        <v>8</v>
      </c>
      <c r="D160" t="s">
        <v>2</v>
      </c>
      <c r="E160" t="s">
        <v>3</v>
      </c>
      <c r="F160" t="s">
        <v>4</v>
      </c>
      <c r="G160" s="10">
        <v>45977</v>
      </c>
      <c r="H160" t="s">
        <v>36</v>
      </c>
      <c r="I160">
        <v>2.5089999999999999</v>
      </c>
      <c r="J160">
        <v>3150.42</v>
      </c>
      <c r="K160">
        <v>2704.7</v>
      </c>
      <c r="L160">
        <v>0.23799999999999999</v>
      </c>
      <c r="M160">
        <v>0.46100000000000002</v>
      </c>
      <c r="N160">
        <v>9.7000000000000003E-2</v>
      </c>
    </row>
    <row r="161" spans="1:14" x14ac:dyDescent="0.25">
      <c r="A161">
        <v>134</v>
      </c>
      <c r="B161" t="s">
        <v>7</v>
      </c>
      <c r="C161" t="s">
        <v>8</v>
      </c>
      <c r="D161" t="s">
        <v>2</v>
      </c>
      <c r="E161" t="s">
        <v>12</v>
      </c>
      <c r="F161" t="s">
        <v>4</v>
      </c>
      <c r="G161" s="10">
        <v>45976</v>
      </c>
      <c r="H161" t="s">
        <v>5</v>
      </c>
      <c r="I161">
        <v>3.427</v>
      </c>
      <c r="J161">
        <v>3117.12</v>
      </c>
      <c r="K161">
        <v>2676.11</v>
      </c>
      <c r="L161">
        <v>0.59399999999999997</v>
      </c>
      <c r="M161">
        <v>0.38300000000000001</v>
      </c>
      <c r="N161">
        <v>0.25700000000000001</v>
      </c>
    </row>
    <row r="162" spans="1:14" x14ac:dyDescent="0.25">
      <c r="A162">
        <v>133</v>
      </c>
      <c r="B162" t="s">
        <v>26</v>
      </c>
      <c r="C162" t="s">
        <v>1</v>
      </c>
      <c r="D162" t="s">
        <v>2</v>
      </c>
      <c r="E162" t="s">
        <v>12</v>
      </c>
      <c r="F162" t="s">
        <v>4</v>
      </c>
      <c r="G162" s="10">
        <v>45975</v>
      </c>
      <c r="H162" t="s">
        <v>5</v>
      </c>
      <c r="I162">
        <v>4.4210000000000003</v>
      </c>
      <c r="J162">
        <v>3246.01</v>
      </c>
      <c r="K162">
        <v>2786.76</v>
      </c>
      <c r="L162">
        <v>0.61299999999999999</v>
      </c>
      <c r="M162">
        <v>0.436</v>
      </c>
      <c r="N162">
        <v>0.13100000000000001</v>
      </c>
    </row>
    <row r="163" spans="1:14" x14ac:dyDescent="0.25">
      <c r="A163">
        <v>132</v>
      </c>
      <c r="B163" t="s">
        <v>15</v>
      </c>
      <c r="C163" t="s">
        <v>8</v>
      </c>
      <c r="D163" t="s">
        <v>2</v>
      </c>
      <c r="E163" t="s">
        <v>3</v>
      </c>
      <c r="F163" t="s">
        <v>4</v>
      </c>
      <c r="G163" s="10">
        <v>45974</v>
      </c>
      <c r="H163" t="s">
        <v>5</v>
      </c>
      <c r="I163">
        <v>1.0049999999999999</v>
      </c>
      <c r="J163">
        <v>3427.39</v>
      </c>
      <c r="K163">
        <v>2949.82</v>
      </c>
      <c r="L163">
        <v>0.28699999999999998</v>
      </c>
      <c r="M163">
        <v>0.19800000000000001</v>
      </c>
      <c r="N163">
        <v>8.0000000000000002E-3</v>
      </c>
    </row>
    <row r="164" spans="1:14" x14ac:dyDescent="0.25">
      <c r="A164">
        <v>131</v>
      </c>
      <c r="B164" t="s">
        <v>15</v>
      </c>
      <c r="C164" t="s">
        <v>1</v>
      </c>
      <c r="D164" t="s">
        <v>9</v>
      </c>
      <c r="E164" t="s">
        <v>3</v>
      </c>
      <c r="F164" t="s">
        <v>4</v>
      </c>
      <c r="G164" s="10">
        <v>45972</v>
      </c>
      <c r="H164" t="s">
        <v>36</v>
      </c>
      <c r="I164">
        <v>0.14499999999999999</v>
      </c>
      <c r="J164">
        <v>104980.72</v>
      </c>
      <c r="K164">
        <v>90695.99</v>
      </c>
      <c r="L164">
        <v>0.746</v>
      </c>
      <c r="M164">
        <v>0.21299999999999999</v>
      </c>
      <c r="N164">
        <v>0.26200000000000001</v>
      </c>
    </row>
    <row r="165" spans="1:14" x14ac:dyDescent="0.25">
      <c r="A165">
        <v>130</v>
      </c>
      <c r="B165" t="s">
        <v>18</v>
      </c>
      <c r="C165" t="s">
        <v>22</v>
      </c>
      <c r="D165" t="s">
        <v>2</v>
      </c>
      <c r="E165" t="s">
        <v>12</v>
      </c>
      <c r="F165" t="s">
        <v>4</v>
      </c>
      <c r="G165" s="10">
        <v>45971</v>
      </c>
      <c r="H165" t="s">
        <v>5</v>
      </c>
      <c r="I165">
        <v>0.71399999999999997</v>
      </c>
      <c r="J165">
        <v>3583.79</v>
      </c>
      <c r="K165">
        <v>3097.23</v>
      </c>
      <c r="L165">
        <v>0.55400000000000005</v>
      </c>
      <c r="M165">
        <v>0.27400000000000002</v>
      </c>
      <c r="N165">
        <v>3.0000000000000001E-3</v>
      </c>
    </row>
    <row r="166" spans="1:14" x14ac:dyDescent="0.25">
      <c r="A166">
        <v>129</v>
      </c>
      <c r="B166" t="s">
        <v>0</v>
      </c>
      <c r="C166" t="s">
        <v>1</v>
      </c>
      <c r="D166" t="s">
        <v>9</v>
      </c>
      <c r="E166" t="s">
        <v>3</v>
      </c>
      <c r="F166" t="s">
        <v>4</v>
      </c>
      <c r="G166" s="10">
        <v>45971</v>
      </c>
      <c r="H166" t="s">
        <v>5</v>
      </c>
      <c r="I166">
        <v>0.28299999999999997</v>
      </c>
      <c r="J166">
        <v>105363</v>
      </c>
      <c r="K166">
        <v>91057.87</v>
      </c>
      <c r="L166">
        <v>0.68400000000000005</v>
      </c>
      <c r="M166">
        <v>0.153</v>
      </c>
      <c r="N166">
        <v>0.248</v>
      </c>
    </row>
    <row r="167" spans="1:14" x14ac:dyDescent="0.25">
      <c r="A167">
        <v>128</v>
      </c>
      <c r="B167" t="s">
        <v>0</v>
      </c>
      <c r="C167" t="s">
        <v>22</v>
      </c>
      <c r="D167" t="s">
        <v>2</v>
      </c>
      <c r="E167" t="s">
        <v>3</v>
      </c>
      <c r="F167" t="s">
        <v>4</v>
      </c>
      <c r="G167" s="10">
        <v>45964</v>
      </c>
      <c r="H167" t="s">
        <v>5</v>
      </c>
      <c r="I167">
        <v>2.9740000000000002</v>
      </c>
      <c r="J167">
        <v>3948.44</v>
      </c>
      <c r="K167">
        <v>3429.26</v>
      </c>
      <c r="L167">
        <v>0.92300000000000004</v>
      </c>
      <c r="M167">
        <v>0.151</v>
      </c>
      <c r="N167">
        <v>0.20399999999999999</v>
      </c>
    </row>
    <row r="168" spans="1:14" x14ac:dyDescent="0.25">
      <c r="A168">
        <v>127</v>
      </c>
      <c r="B168" t="s">
        <v>7</v>
      </c>
      <c r="C168" t="s">
        <v>22</v>
      </c>
      <c r="D168" t="s">
        <v>9</v>
      </c>
      <c r="E168" t="s">
        <v>3</v>
      </c>
      <c r="F168" t="s">
        <v>4</v>
      </c>
      <c r="G168" s="10">
        <v>45961</v>
      </c>
      <c r="H168" t="s">
        <v>5</v>
      </c>
      <c r="I168">
        <v>2.1999999999999999E-2</v>
      </c>
      <c r="J168">
        <v>108778.11</v>
      </c>
      <c r="K168">
        <v>94147.45</v>
      </c>
      <c r="L168">
        <v>0.68799999999999994</v>
      </c>
      <c r="M168">
        <v>0.439</v>
      </c>
      <c r="N168">
        <v>2.5000000000000001E-2</v>
      </c>
    </row>
    <row r="169" spans="1:14" x14ac:dyDescent="0.25">
      <c r="A169">
        <v>126</v>
      </c>
      <c r="B169" t="s">
        <v>0</v>
      </c>
      <c r="C169" t="s">
        <v>22</v>
      </c>
      <c r="D169" t="s">
        <v>9</v>
      </c>
      <c r="E169" t="s">
        <v>12</v>
      </c>
      <c r="F169" t="s">
        <v>4</v>
      </c>
      <c r="G169" s="10">
        <v>45958</v>
      </c>
      <c r="H169" t="s">
        <v>5</v>
      </c>
      <c r="I169">
        <v>7.3999999999999996E-2</v>
      </c>
      <c r="J169">
        <v>114881.71</v>
      </c>
      <c r="K169">
        <v>98781.04</v>
      </c>
      <c r="L169">
        <v>0.20100000000000001</v>
      </c>
      <c r="M169">
        <v>0.22800000000000001</v>
      </c>
      <c r="N169">
        <v>2.7E-2</v>
      </c>
    </row>
    <row r="170" spans="1:14" x14ac:dyDescent="0.25">
      <c r="A170">
        <v>125</v>
      </c>
      <c r="B170" t="s">
        <v>15</v>
      </c>
      <c r="C170" t="s">
        <v>1</v>
      </c>
      <c r="D170" t="s">
        <v>9</v>
      </c>
      <c r="E170" t="s">
        <v>3</v>
      </c>
      <c r="F170" t="s">
        <v>4</v>
      </c>
      <c r="G170" s="10">
        <v>45954</v>
      </c>
      <c r="H170" t="s">
        <v>5</v>
      </c>
      <c r="I170">
        <v>0.19600000000000001</v>
      </c>
      <c r="J170">
        <v>110958</v>
      </c>
      <c r="K170">
        <v>95554.81</v>
      </c>
      <c r="L170">
        <v>0.95399999999999996</v>
      </c>
      <c r="M170">
        <v>3.6999999999999998E-2</v>
      </c>
      <c r="N170">
        <v>5.3999999999999999E-2</v>
      </c>
    </row>
    <row r="171" spans="1:14" x14ac:dyDescent="0.25">
      <c r="A171">
        <v>124</v>
      </c>
      <c r="B171" t="s">
        <v>11</v>
      </c>
      <c r="C171" t="s">
        <v>1</v>
      </c>
      <c r="D171" t="s">
        <v>2</v>
      </c>
      <c r="E171" t="s">
        <v>12</v>
      </c>
      <c r="F171" t="s">
        <v>4</v>
      </c>
      <c r="G171" s="10">
        <v>45953</v>
      </c>
      <c r="H171" t="s">
        <v>36</v>
      </c>
      <c r="I171">
        <v>0.34399999999999997</v>
      </c>
      <c r="J171">
        <v>3773.6</v>
      </c>
      <c r="K171">
        <v>3255.07</v>
      </c>
      <c r="L171">
        <v>0.89800000000000002</v>
      </c>
      <c r="M171">
        <v>0.247</v>
      </c>
      <c r="N171">
        <v>0.222</v>
      </c>
    </row>
    <row r="172" spans="1:14" x14ac:dyDescent="0.25">
      <c r="A172">
        <v>123</v>
      </c>
      <c r="B172" t="s">
        <v>7</v>
      </c>
      <c r="C172" t="s">
        <v>8</v>
      </c>
      <c r="D172" t="s">
        <v>2</v>
      </c>
      <c r="E172" t="s">
        <v>12</v>
      </c>
      <c r="F172" t="s">
        <v>4</v>
      </c>
      <c r="G172" s="10">
        <v>45949</v>
      </c>
      <c r="H172" t="s">
        <v>36</v>
      </c>
      <c r="I172">
        <v>0.311</v>
      </c>
      <c r="J172">
        <v>3859.4</v>
      </c>
      <c r="K172">
        <v>3303.99</v>
      </c>
      <c r="L172">
        <v>0.94599999999999995</v>
      </c>
      <c r="M172">
        <v>0.40799999999999997</v>
      </c>
      <c r="N172">
        <v>8.7999999999999995E-2</v>
      </c>
    </row>
    <row r="173" spans="1:14" x14ac:dyDescent="0.25">
      <c r="A173">
        <v>122</v>
      </c>
      <c r="B173" t="s">
        <v>7</v>
      </c>
      <c r="C173" t="s">
        <v>22</v>
      </c>
      <c r="D173" t="s">
        <v>9</v>
      </c>
      <c r="E173" t="s">
        <v>3</v>
      </c>
      <c r="F173" t="s">
        <v>4</v>
      </c>
      <c r="G173" s="10">
        <v>45949</v>
      </c>
      <c r="H173" t="s">
        <v>36</v>
      </c>
      <c r="I173">
        <v>4.0000000000000001E-3</v>
      </c>
      <c r="J173">
        <v>106782.87</v>
      </c>
      <c r="K173">
        <v>91415.75</v>
      </c>
      <c r="L173">
        <v>2.7E-2</v>
      </c>
      <c r="M173">
        <v>0.104</v>
      </c>
      <c r="N173">
        <v>0.19500000000000001</v>
      </c>
    </row>
    <row r="174" spans="1:14" x14ac:dyDescent="0.25">
      <c r="A174">
        <v>121</v>
      </c>
      <c r="B174" t="s">
        <v>11</v>
      </c>
      <c r="C174" t="s">
        <v>22</v>
      </c>
      <c r="D174" t="s">
        <v>9</v>
      </c>
      <c r="E174" t="s">
        <v>3</v>
      </c>
      <c r="F174" t="s">
        <v>4</v>
      </c>
      <c r="G174" s="10">
        <v>45948</v>
      </c>
      <c r="H174" t="s">
        <v>36</v>
      </c>
      <c r="I174">
        <v>2.8000000000000001E-2</v>
      </c>
      <c r="J174">
        <v>105408.55</v>
      </c>
      <c r="K174">
        <v>90239.2</v>
      </c>
      <c r="L174">
        <v>0.95299999999999996</v>
      </c>
      <c r="M174">
        <v>0.41899999999999998</v>
      </c>
      <c r="N174">
        <v>0.22700000000000001</v>
      </c>
    </row>
    <row r="175" spans="1:14" x14ac:dyDescent="0.25">
      <c r="A175">
        <v>120</v>
      </c>
      <c r="B175" t="s">
        <v>26</v>
      </c>
      <c r="C175" t="s">
        <v>1</v>
      </c>
      <c r="D175" t="s">
        <v>2</v>
      </c>
      <c r="E175" t="s">
        <v>3</v>
      </c>
      <c r="F175" t="s">
        <v>4</v>
      </c>
      <c r="G175" s="10">
        <v>45947</v>
      </c>
      <c r="H175" t="s">
        <v>5</v>
      </c>
      <c r="I175">
        <v>0.38600000000000001</v>
      </c>
      <c r="J175">
        <v>3914.71</v>
      </c>
      <c r="K175">
        <v>3351.34</v>
      </c>
      <c r="L175">
        <v>0.79800000000000004</v>
      </c>
      <c r="M175">
        <v>0.44700000000000001</v>
      </c>
      <c r="N175">
        <v>4.2000000000000003E-2</v>
      </c>
    </row>
    <row r="176" spans="1:14" x14ac:dyDescent="0.25">
      <c r="A176">
        <v>119</v>
      </c>
      <c r="B176" t="s">
        <v>15</v>
      </c>
      <c r="C176" t="s">
        <v>1</v>
      </c>
      <c r="D176" t="s">
        <v>9</v>
      </c>
      <c r="E176" t="s">
        <v>12</v>
      </c>
      <c r="F176" t="s">
        <v>4</v>
      </c>
      <c r="G176" s="10">
        <v>45946</v>
      </c>
      <c r="H176" t="s">
        <v>5</v>
      </c>
      <c r="I176">
        <v>0.39400000000000002</v>
      </c>
      <c r="J176">
        <v>111520.41</v>
      </c>
      <c r="K176">
        <v>95733.58</v>
      </c>
      <c r="L176">
        <v>2.8000000000000001E-2</v>
      </c>
      <c r="M176">
        <v>0.47599999999999998</v>
      </c>
      <c r="N176">
        <v>3.5000000000000003E-2</v>
      </c>
    </row>
    <row r="177" spans="1:14" x14ac:dyDescent="0.25">
      <c r="A177">
        <v>118</v>
      </c>
      <c r="B177" t="s">
        <v>18</v>
      </c>
      <c r="C177" t="s">
        <v>8</v>
      </c>
      <c r="D177" t="s">
        <v>2</v>
      </c>
      <c r="E177" t="s">
        <v>12</v>
      </c>
      <c r="F177" t="s">
        <v>4</v>
      </c>
      <c r="G177" s="10">
        <v>45941</v>
      </c>
      <c r="H177" t="s">
        <v>5</v>
      </c>
      <c r="I177">
        <v>4.1379999999999999</v>
      </c>
      <c r="J177">
        <v>3861.87</v>
      </c>
      <c r="K177">
        <v>3338.39</v>
      </c>
      <c r="L177">
        <v>0.80700000000000005</v>
      </c>
      <c r="M177">
        <v>0.14099999999999999</v>
      </c>
      <c r="N177">
        <v>4.0000000000000001E-3</v>
      </c>
    </row>
    <row r="178" spans="1:14" x14ac:dyDescent="0.25">
      <c r="A178">
        <v>117</v>
      </c>
      <c r="B178" t="s">
        <v>11</v>
      </c>
      <c r="C178" t="s">
        <v>1</v>
      </c>
      <c r="D178" t="s">
        <v>2</v>
      </c>
      <c r="E178" t="s">
        <v>12</v>
      </c>
      <c r="F178" t="s">
        <v>4</v>
      </c>
      <c r="G178" s="10">
        <v>45939</v>
      </c>
      <c r="H178" t="s">
        <v>5</v>
      </c>
      <c r="I178">
        <v>3.3260000000000001</v>
      </c>
      <c r="J178">
        <v>4534.45</v>
      </c>
      <c r="K178">
        <v>3905.3</v>
      </c>
      <c r="L178">
        <v>0.98499999999999999</v>
      </c>
      <c r="M178">
        <v>0.32500000000000001</v>
      </c>
      <c r="N178">
        <v>0.107</v>
      </c>
    </row>
    <row r="179" spans="1:14" x14ac:dyDescent="0.25">
      <c r="A179">
        <v>116</v>
      </c>
      <c r="B179" t="s">
        <v>11</v>
      </c>
      <c r="C179" t="s">
        <v>22</v>
      </c>
      <c r="D179" t="s">
        <v>9</v>
      </c>
      <c r="E179" t="s">
        <v>12</v>
      </c>
      <c r="F179" t="s">
        <v>4</v>
      </c>
      <c r="G179" s="10">
        <v>45939</v>
      </c>
      <c r="H179" t="s">
        <v>36</v>
      </c>
      <c r="I179">
        <v>2.7E-2</v>
      </c>
      <c r="J179">
        <v>122976.96000000001</v>
      </c>
      <c r="K179">
        <v>105913.91</v>
      </c>
      <c r="L179">
        <v>0.65900000000000003</v>
      </c>
      <c r="M179">
        <v>0.29099999999999998</v>
      </c>
      <c r="N179">
        <v>0.246</v>
      </c>
    </row>
    <row r="180" spans="1:14" x14ac:dyDescent="0.25">
      <c r="A180">
        <v>115</v>
      </c>
      <c r="B180" t="s">
        <v>11</v>
      </c>
      <c r="C180" t="s">
        <v>22</v>
      </c>
      <c r="D180" t="s">
        <v>2</v>
      </c>
      <c r="E180" t="s">
        <v>12</v>
      </c>
      <c r="F180" t="s">
        <v>4</v>
      </c>
      <c r="G180" s="10">
        <v>45937</v>
      </c>
      <c r="H180" t="s">
        <v>36</v>
      </c>
      <c r="I180">
        <v>2.6970000000000001</v>
      </c>
      <c r="J180">
        <v>4648.3100000000004</v>
      </c>
      <c r="K180">
        <v>3984.48</v>
      </c>
      <c r="L180">
        <v>0.498</v>
      </c>
      <c r="M180">
        <v>0.17899999999999999</v>
      </c>
      <c r="N180">
        <v>1.2E-2</v>
      </c>
    </row>
    <row r="181" spans="1:14" x14ac:dyDescent="0.25">
      <c r="A181">
        <v>114</v>
      </c>
      <c r="B181" t="s">
        <v>0</v>
      </c>
      <c r="C181" t="s">
        <v>1</v>
      </c>
      <c r="D181" t="s">
        <v>9</v>
      </c>
      <c r="E181" t="s">
        <v>3</v>
      </c>
      <c r="F181" t="s">
        <v>4</v>
      </c>
      <c r="G181" s="10">
        <v>45936</v>
      </c>
      <c r="H181" t="s">
        <v>36</v>
      </c>
      <c r="I181">
        <v>0.18099999999999999</v>
      </c>
      <c r="J181">
        <v>122760.7</v>
      </c>
      <c r="K181">
        <v>105121.21</v>
      </c>
      <c r="L181">
        <v>0.29899999999999999</v>
      </c>
      <c r="M181">
        <v>0.109</v>
      </c>
      <c r="N181">
        <v>8.9999999999999993E-3</v>
      </c>
    </row>
    <row r="182" spans="1:14" x14ac:dyDescent="0.25">
      <c r="A182">
        <v>113</v>
      </c>
      <c r="B182" t="s">
        <v>26</v>
      </c>
      <c r="C182" t="s">
        <v>1</v>
      </c>
      <c r="D182" t="s">
        <v>2</v>
      </c>
      <c r="E182" t="s">
        <v>3</v>
      </c>
      <c r="F182" t="s">
        <v>4</v>
      </c>
      <c r="G182" s="10">
        <v>45935</v>
      </c>
      <c r="H182" t="s">
        <v>5</v>
      </c>
      <c r="I182">
        <v>4.5270000000000001</v>
      </c>
      <c r="J182">
        <v>4507.42</v>
      </c>
      <c r="K182">
        <v>3841.31</v>
      </c>
      <c r="L182">
        <v>0.90100000000000002</v>
      </c>
      <c r="M182">
        <v>3.2000000000000001E-2</v>
      </c>
      <c r="N182">
        <v>2.9000000000000001E-2</v>
      </c>
    </row>
    <row r="183" spans="1:14" x14ac:dyDescent="0.25">
      <c r="A183">
        <v>112</v>
      </c>
      <c r="B183" t="s">
        <v>15</v>
      </c>
      <c r="C183" t="s">
        <v>8</v>
      </c>
      <c r="D183" t="s">
        <v>2</v>
      </c>
      <c r="E183" t="s">
        <v>3</v>
      </c>
      <c r="F183" t="s">
        <v>4</v>
      </c>
      <c r="G183" s="10">
        <v>45934</v>
      </c>
      <c r="H183" t="s">
        <v>5</v>
      </c>
      <c r="I183">
        <v>1.796</v>
      </c>
      <c r="J183">
        <v>4538.34</v>
      </c>
      <c r="K183">
        <v>3867.67</v>
      </c>
      <c r="L183">
        <v>0.81699999999999995</v>
      </c>
      <c r="M183">
        <v>0.16500000000000001</v>
      </c>
      <c r="N183">
        <v>0.23699999999999999</v>
      </c>
    </row>
    <row r="184" spans="1:14" x14ac:dyDescent="0.25">
      <c r="A184">
        <v>111</v>
      </c>
      <c r="B184" t="s">
        <v>18</v>
      </c>
      <c r="C184" t="s">
        <v>22</v>
      </c>
      <c r="D184" t="s">
        <v>2</v>
      </c>
      <c r="E184" t="s">
        <v>3</v>
      </c>
      <c r="F184" t="s">
        <v>4</v>
      </c>
      <c r="G184" s="10">
        <v>45933</v>
      </c>
      <c r="H184" t="s">
        <v>5</v>
      </c>
      <c r="I184">
        <v>1.8049999999999999</v>
      </c>
      <c r="J184">
        <v>4520.4799999999996</v>
      </c>
      <c r="K184">
        <v>3852.44</v>
      </c>
      <c r="L184">
        <v>8.9999999999999993E-3</v>
      </c>
      <c r="M184">
        <v>0.26500000000000001</v>
      </c>
      <c r="N184">
        <v>0.156</v>
      </c>
    </row>
    <row r="185" spans="1:14" x14ac:dyDescent="0.25">
      <c r="A185">
        <v>110</v>
      </c>
      <c r="B185" t="s">
        <v>0</v>
      </c>
      <c r="C185" t="s">
        <v>22</v>
      </c>
      <c r="D185" t="s">
        <v>9</v>
      </c>
      <c r="E185" t="s">
        <v>3</v>
      </c>
      <c r="F185" t="s">
        <v>4</v>
      </c>
      <c r="G185" s="10">
        <v>45929</v>
      </c>
      <c r="H185" t="s">
        <v>36</v>
      </c>
      <c r="I185">
        <v>0.16300000000000001</v>
      </c>
      <c r="J185">
        <v>111378.81</v>
      </c>
      <c r="K185">
        <v>95008.35</v>
      </c>
      <c r="L185">
        <v>0.72599999999999998</v>
      </c>
      <c r="M185">
        <v>0.39200000000000002</v>
      </c>
      <c r="N185">
        <v>0.29099999999999998</v>
      </c>
    </row>
    <row r="186" spans="1:14" x14ac:dyDescent="0.25">
      <c r="A186">
        <v>109</v>
      </c>
      <c r="B186" t="s">
        <v>15</v>
      </c>
      <c r="C186" t="s">
        <v>22</v>
      </c>
      <c r="D186" t="s">
        <v>9</v>
      </c>
      <c r="E186" t="s">
        <v>3</v>
      </c>
      <c r="F186" t="s">
        <v>4</v>
      </c>
      <c r="G186" s="10">
        <v>45928</v>
      </c>
      <c r="H186" t="s">
        <v>36</v>
      </c>
      <c r="I186">
        <v>3.6999999999999998E-2</v>
      </c>
      <c r="J186">
        <v>108879.25</v>
      </c>
      <c r="K186">
        <v>93282.29</v>
      </c>
      <c r="L186">
        <v>0.72099999999999997</v>
      </c>
      <c r="M186">
        <v>0.23400000000000001</v>
      </c>
      <c r="N186">
        <v>6.4000000000000001E-2</v>
      </c>
    </row>
    <row r="187" spans="1:14" x14ac:dyDescent="0.25">
      <c r="A187">
        <v>108</v>
      </c>
      <c r="B187" t="s">
        <v>18</v>
      </c>
      <c r="C187" t="s">
        <v>1</v>
      </c>
      <c r="D187" t="s">
        <v>2</v>
      </c>
      <c r="E187" t="s">
        <v>12</v>
      </c>
      <c r="F187" t="s">
        <v>4</v>
      </c>
      <c r="G187" s="10">
        <v>45924</v>
      </c>
      <c r="H187" t="s">
        <v>5</v>
      </c>
      <c r="I187">
        <v>3.9820000000000002</v>
      </c>
      <c r="J187">
        <v>4180</v>
      </c>
      <c r="K187">
        <v>3555.63</v>
      </c>
      <c r="L187">
        <v>0.22500000000000001</v>
      </c>
      <c r="M187">
        <v>0.28199999999999997</v>
      </c>
      <c r="N187">
        <v>0.17899999999999999</v>
      </c>
    </row>
    <row r="188" spans="1:14" x14ac:dyDescent="0.25">
      <c r="A188">
        <v>107</v>
      </c>
      <c r="B188" t="s">
        <v>18</v>
      </c>
      <c r="C188" t="s">
        <v>8</v>
      </c>
      <c r="D188" t="s">
        <v>2</v>
      </c>
      <c r="E188" t="s">
        <v>3</v>
      </c>
      <c r="F188" t="s">
        <v>4</v>
      </c>
      <c r="G188" s="10">
        <v>45923</v>
      </c>
      <c r="H188" t="s">
        <v>36</v>
      </c>
      <c r="I188">
        <v>1.0680000000000001</v>
      </c>
      <c r="J188">
        <v>4191.28</v>
      </c>
      <c r="K188">
        <v>3554.04</v>
      </c>
      <c r="L188">
        <v>0.23899999999999999</v>
      </c>
      <c r="M188">
        <v>0.40799999999999997</v>
      </c>
      <c r="N188">
        <v>0.28799999999999998</v>
      </c>
    </row>
    <row r="189" spans="1:14" x14ac:dyDescent="0.25">
      <c r="A189">
        <v>106</v>
      </c>
      <c r="B189" t="s">
        <v>0</v>
      </c>
      <c r="C189" t="s">
        <v>22</v>
      </c>
      <c r="D189" t="s">
        <v>2</v>
      </c>
      <c r="E189" t="s">
        <v>12</v>
      </c>
      <c r="F189" t="s">
        <v>4</v>
      </c>
      <c r="G189" s="10">
        <v>45920</v>
      </c>
      <c r="H189" t="s">
        <v>36</v>
      </c>
      <c r="I189">
        <v>1.5549999999999999</v>
      </c>
      <c r="J189">
        <v>4446.03</v>
      </c>
      <c r="K189">
        <v>3788.37</v>
      </c>
      <c r="L189">
        <v>0.59599999999999997</v>
      </c>
      <c r="M189">
        <v>0.26800000000000002</v>
      </c>
      <c r="N189">
        <v>0.24099999999999999</v>
      </c>
    </row>
    <row r="190" spans="1:14" x14ac:dyDescent="0.25">
      <c r="A190">
        <v>105</v>
      </c>
      <c r="B190" t="s">
        <v>7</v>
      </c>
      <c r="C190" t="s">
        <v>1</v>
      </c>
      <c r="D190" t="s">
        <v>9</v>
      </c>
      <c r="E190" t="s">
        <v>3</v>
      </c>
      <c r="F190" t="s">
        <v>4</v>
      </c>
      <c r="G190" s="10">
        <v>45912</v>
      </c>
      <c r="H190" t="s">
        <v>5</v>
      </c>
      <c r="I190">
        <v>0.155</v>
      </c>
      <c r="J190">
        <v>115926.36</v>
      </c>
      <c r="K190">
        <v>98930.39</v>
      </c>
      <c r="L190">
        <v>6.8000000000000005E-2</v>
      </c>
      <c r="M190">
        <v>0.36899999999999999</v>
      </c>
      <c r="N190">
        <v>0.161</v>
      </c>
    </row>
    <row r="191" spans="1:14" x14ac:dyDescent="0.25">
      <c r="A191">
        <v>104</v>
      </c>
      <c r="B191" t="s">
        <v>15</v>
      </c>
      <c r="C191" t="s">
        <v>1</v>
      </c>
      <c r="D191" t="s">
        <v>9</v>
      </c>
      <c r="E191" t="s">
        <v>3</v>
      </c>
      <c r="F191" t="s">
        <v>4</v>
      </c>
      <c r="G191" s="10">
        <v>45910</v>
      </c>
      <c r="H191" t="s">
        <v>5</v>
      </c>
      <c r="I191">
        <v>0.13400000000000001</v>
      </c>
      <c r="J191">
        <v>111835.84</v>
      </c>
      <c r="K191">
        <v>95529.06</v>
      </c>
      <c r="L191">
        <v>3.5000000000000003E-2</v>
      </c>
      <c r="M191">
        <v>0.41199999999999998</v>
      </c>
      <c r="N191">
        <v>0.13900000000000001</v>
      </c>
    </row>
    <row r="192" spans="1:14" x14ac:dyDescent="0.25">
      <c r="A192">
        <v>103</v>
      </c>
      <c r="B192" t="s">
        <v>18</v>
      </c>
      <c r="C192" t="s">
        <v>1</v>
      </c>
      <c r="D192" t="s">
        <v>9</v>
      </c>
      <c r="E192" t="s">
        <v>3</v>
      </c>
      <c r="F192" t="s">
        <v>4</v>
      </c>
      <c r="G192" s="10">
        <v>45909</v>
      </c>
      <c r="H192" t="s">
        <v>5</v>
      </c>
      <c r="I192">
        <v>0.247</v>
      </c>
      <c r="J192">
        <v>113054.48</v>
      </c>
      <c r="K192">
        <v>96265.89</v>
      </c>
      <c r="L192">
        <v>0.26500000000000001</v>
      </c>
      <c r="M192">
        <v>0.38600000000000001</v>
      </c>
      <c r="N192">
        <v>7.0000000000000001E-3</v>
      </c>
    </row>
    <row r="193" spans="1:14" x14ac:dyDescent="0.25">
      <c r="A193">
        <v>102</v>
      </c>
      <c r="B193" t="s">
        <v>18</v>
      </c>
      <c r="C193" t="s">
        <v>8</v>
      </c>
      <c r="D193" t="s">
        <v>2</v>
      </c>
      <c r="E193" t="s">
        <v>12</v>
      </c>
      <c r="F193" t="s">
        <v>4</v>
      </c>
      <c r="G193" s="10">
        <v>45907</v>
      </c>
      <c r="H193" t="s">
        <v>5</v>
      </c>
      <c r="I193">
        <v>0.80100000000000005</v>
      </c>
      <c r="J193">
        <v>4278.84</v>
      </c>
      <c r="K193">
        <v>3658.06</v>
      </c>
      <c r="L193">
        <v>0.93700000000000006</v>
      </c>
      <c r="M193">
        <v>0.372</v>
      </c>
      <c r="N193">
        <v>0.187</v>
      </c>
    </row>
    <row r="194" spans="1:14" x14ac:dyDescent="0.25">
      <c r="A194">
        <v>101</v>
      </c>
      <c r="B194" t="s">
        <v>18</v>
      </c>
      <c r="C194" t="s">
        <v>8</v>
      </c>
      <c r="D194" t="s">
        <v>9</v>
      </c>
      <c r="E194" t="s">
        <v>12</v>
      </c>
      <c r="F194" t="s">
        <v>4</v>
      </c>
      <c r="G194" s="10">
        <v>45904</v>
      </c>
      <c r="H194" t="s">
        <v>5</v>
      </c>
      <c r="I194">
        <v>0.46600000000000003</v>
      </c>
      <c r="J194">
        <v>112117.47</v>
      </c>
      <c r="K194">
        <v>96262.94</v>
      </c>
      <c r="L194">
        <v>0.47799999999999998</v>
      </c>
      <c r="M194">
        <v>1.4999999999999999E-2</v>
      </c>
      <c r="N194">
        <v>1.9E-2</v>
      </c>
    </row>
    <row r="195" spans="1:14" x14ac:dyDescent="0.25">
      <c r="A195">
        <v>100</v>
      </c>
      <c r="B195" t="s">
        <v>11</v>
      </c>
      <c r="C195" t="s">
        <v>8</v>
      </c>
      <c r="D195" t="s">
        <v>2</v>
      </c>
      <c r="E195" t="s">
        <v>3</v>
      </c>
      <c r="F195" t="s">
        <v>4</v>
      </c>
      <c r="G195" s="10">
        <v>45901</v>
      </c>
      <c r="H195" t="s">
        <v>36</v>
      </c>
      <c r="I195">
        <v>0.108</v>
      </c>
      <c r="J195">
        <v>4374.6400000000003</v>
      </c>
      <c r="K195">
        <v>3734.24</v>
      </c>
      <c r="L195">
        <v>0.34499999999999997</v>
      </c>
      <c r="M195">
        <v>0.156</v>
      </c>
      <c r="N195">
        <v>0.13700000000000001</v>
      </c>
    </row>
    <row r="196" spans="1:14" x14ac:dyDescent="0.25">
      <c r="A196">
        <v>99</v>
      </c>
      <c r="B196" t="s">
        <v>11</v>
      </c>
      <c r="C196" t="s">
        <v>22</v>
      </c>
      <c r="D196" t="s">
        <v>9</v>
      </c>
      <c r="E196" t="s">
        <v>12</v>
      </c>
      <c r="F196" t="s">
        <v>4</v>
      </c>
      <c r="G196" s="10">
        <v>45900</v>
      </c>
      <c r="H196" t="s">
        <v>36</v>
      </c>
      <c r="I196">
        <v>0.13900000000000001</v>
      </c>
      <c r="J196">
        <v>107901.42</v>
      </c>
      <c r="K196">
        <v>92555.68</v>
      </c>
      <c r="L196">
        <v>0.84799999999999998</v>
      </c>
      <c r="M196">
        <v>0.28100000000000003</v>
      </c>
      <c r="N196">
        <v>0.24399999999999999</v>
      </c>
    </row>
    <row r="197" spans="1:14" x14ac:dyDescent="0.25">
      <c r="A197">
        <v>98</v>
      </c>
      <c r="B197" t="s">
        <v>7</v>
      </c>
      <c r="C197" t="s">
        <v>1</v>
      </c>
      <c r="D197" t="s">
        <v>2</v>
      </c>
      <c r="E197" t="s">
        <v>12</v>
      </c>
      <c r="F197" t="s">
        <v>4</v>
      </c>
      <c r="G197" s="10">
        <v>45898</v>
      </c>
      <c r="H197" t="s">
        <v>5</v>
      </c>
      <c r="I197">
        <v>2.605</v>
      </c>
      <c r="J197">
        <v>4548.3500000000004</v>
      </c>
      <c r="K197">
        <v>3901.49</v>
      </c>
      <c r="L197">
        <v>0.85699999999999998</v>
      </c>
      <c r="M197">
        <v>0.23599999999999999</v>
      </c>
      <c r="N197">
        <v>4.2000000000000003E-2</v>
      </c>
    </row>
    <row r="198" spans="1:14" x14ac:dyDescent="0.25">
      <c r="A198">
        <v>97</v>
      </c>
      <c r="B198" t="s">
        <v>11</v>
      </c>
      <c r="C198" t="s">
        <v>22</v>
      </c>
      <c r="D198" t="s">
        <v>2</v>
      </c>
      <c r="E198" t="s">
        <v>12</v>
      </c>
      <c r="F198" t="s">
        <v>4</v>
      </c>
      <c r="G198" s="10">
        <v>45896</v>
      </c>
      <c r="H198" t="s">
        <v>5</v>
      </c>
      <c r="I198">
        <v>2.3570000000000002</v>
      </c>
      <c r="J198">
        <v>4626.74</v>
      </c>
      <c r="K198">
        <v>3990.98</v>
      </c>
      <c r="L198">
        <v>0.68500000000000005</v>
      </c>
      <c r="M198">
        <v>0.35099999999999998</v>
      </c>
      <c r="N198">
        <v>3.7999999999999999E-2</v>
      </c>
    </row>
    <row r="199" spans="1:14" x14ac:dyDescent="0.25">
      <c r="A199">
        <v>96</v>
      </c>
      <c r="B199" t="s">
        <v>0</v>
      </c>
      <c r="C199" t="s">
        <v>1</v>
      </c>
      <c r="D199" t="s">
        <v>2</v>
      </c>
      <c r="E199" t="s">
        <v>12</v>
      </c>
      <c r="F199" t="s">
        <v>4</v>
      </c>
      <c r="G199" s="10">
        <v>45893</v>
      </c>
      <c r="H199" t="s">
        <v>36</v>
      </c>
      <c r="I199">
        <v>0.81499999999999995</v>
      </c>
      <c r="J199">
        <v>4731.3100000000004</v>
      </c>
      <c r="K199">
        <v>4075.89</v>
      </c>
      <c r="L199">
        <v>0.58099999999999996</v>
      </c>
      <c r="M199">
        <v>0.44900000000000001</v>
      </c>
      <c r="N199">
        <v>0.26100000000000001</v>
      </c>
    </row>
    <row r="200" spans="1:14" x14ac:dyDescent="0.25">
      <c r="A200">
        <v>95</v>
      </c>
      <c r="B200" t="s">
        <v>15</v>
      </c>
      <c r="C200" t="s">
        <v>1</v>
      </c>
      <c r="D200" t="s">
        <v>2</v>
      </c>
      <c r="E200" t="s">
        <v>3</v>
      </c>
      <c r="F200" t="s">
        <v>4</v>
      </c>
      <c r="G200" s="10">
        <v>45891</v>
      </c>
      <c r="H200" t="s">
        <v>5</v>
      </c>
      <c r="I200">
        <v>0.88100000000000001</v>
      </c>
      <c r="J200">
        <v>4247.2299999999996</v>
      </c>
      <c r="K200">
        <v>3658.86</v>
      </c>
      <c r="L200">
        <v>0.94699999999999995</v>
      </c>
      <c r="M200">
        <v>0.127</v>
      </c>
      <c r="N200">
        <v>6.0999999999999999E-2</v>
      </c>
    </row>
    <row r="201" spans="1:14" x14ac:dyDescent="0.25">
      <c r="A201">
        <v>94</v>
      </c>
      <c r="B201" t="s">
        <v>7</v>
      </c>
      <c r="C201" t="s">
        <v>22</v>
      </c>
      <c r="D201" t="s">
        <v>2</v>
      </c>
      <c r="E201" t="s">
        <v>12</v>
      </c>
      <c r="F201" t="s">
        <v>4</v>
      </c>
      <c r="G201" s="10">
        <v>45890</v>
      </c>
      <c r="H201" t="s">
        <v>5</v>
      </c>
      <c r="I201">
        <v>4.1870000000000003</v>
      </c>
      <c r="J201">
        <v>4348.1099999999997</v>
      </c>
      <c r="K201">
        <v>3735.81</v>
      </c>
      <c r="L201">
        <v>5.6000000000000001E-2</v>
      </c>
      <c r="M201">
        <v>0.26200000000000001</v>
      </c>
      <c r="N201">
        <v>0.28799999999999998</v>
      </c>
    </row>
    <row r="202" spans="1:14" x14ac:dyDescent="0.25">
      <c r="A202">
        <v>93</v>
      </c>
      <c r="B202" t="s">
        <v>15</v>
      </c>
      <c r="C202" t="s">
        <v>22</v>
      </c>
      <c r="D202" t="s">
        <v>9</v>
      </c>
      <c r="E202" t="s">
        <v>3</v>
      </c>
      <c r="F202" t="s">
        <v>4</v>
      </c>
      <c r="G202" s="10">
        <v>45889</v>
      </c>
      <c r="H202" t="s">
        <v>5</v>
      </c>
      <c r="I202">
        <v>3.4000000000000002E-2</v>
      </c>
      <c r="J202">
        <v>113611.97</v>
      </c>
      <c r="K202">
        <v>97513.16</v>
      </c>
      <c r="L202">
        <v>0.97699999999999998</v>
      </c>
      <c r="M202">
        <v>0.46400000000000002</v>
      </c>
      <c r="N202">
        <v>0.20699999999999999</v>
      </c>
    </row>
    <row r="203" spans="1:14" x14ac:dyDescent="0.25">
      <c r="A203">
        <v>92</v>
      </c>
      <c r="B203" t="s">
        <v>11</v>
      </c>
      <c r="C203" t="s">
        <v>1</v>
      </c>
      <c r="D203" t="s">
        <v>2</v>
      </c>
      <c r="E203" t="s">
        <v>12</v>
      </c>
      <c r="F203" t="s">
        <v>4</v>
      </c>
      <c r="G203" s="10">
        <v>45886</v>
      </c>
      <c r="H203" t="s">
        <v>36</v>
      </c>
      <c r="I203">
        <v>4.423</v>
      </c>
      <c r="J203">
        <v>4409</v>
      </c>
      <c r="K203">
        <v>3772.25</v>
      </c>
      <c r="L203">
        <v>0.94799999999999995</v>
      </c>
      <c r="M203">
        <v>0.26800000000000002</v>
      </c>
      <c r="N203">
        <v>2.9000000000000001E-2</v>
      </c>
    </row>
    <row r="204" spans="1:14" x14ac:dyDescent="0.25">
      <c r="A204">
        <v>91</v>
      </c>
      <c r="B204" t="s">
        <v>11</v>
      </c>
      <c r="C204" t="s">
        <v>8</v>
      </c>
      <c r="D204" t="s">
        <v>9</v>
      </c>
      <c r="E204" t="s">
        <v>12</v>
      </c>
      <c r="F204" t="s">
        <v>4</v>
      </c>
      <c r="G204" s="10">
        <v>45885</v>
      </c>
      <c r="H204" t="s">
        <v>36</v>
      </c>
      <c r="I204">
        <v>0.28899999999999998</v>
      </c>
      <c r="J204">
        <v>116583.79</v>
      </c>
      <c r="K204">
        <v>99746.76</v>
      </c>
      <c r="L204">
        <v>0.42199999999999999</v>
      </c>
      <c r="M204">
        <v>0.19400000000000001</v>
      </c>
      <c r="N204">
        <v>0.27300000000000002</v>
      </c>
    </row>
    <row r="205" spans="1:14" x14ac:dyDescent="0.25">
      <c r="A205">
        <v>90</v>
      </c>
      <c r="B205" t="s">
        <v>18</v>
      </c>
      <c r="C205" t="s">
        <v>1</v>
      </c>
      <c r="D205" t="s">
        <v>2</v>
      </c>
      <c r="E205" t="s">
        <v>3</v>
      </c>
      <c r="F205" t="s">
        <v>4</v>
      </c>
      <c r="G205" s="10">
        <v>45883</v>
      </c>
      <c r="H205" t="s">
        <v>36</v>
      </c>
      <c r="I205">
        <v>3.3740000000000001</v>
      </c>
      <c r="J205">
        <v>4739.57</v>
      </c>
      <c r="K205">
        <v>4054.37</v>
      </c>
      <c r="L205">
        <v>0.63900000000000001</v>
      </c>
      <c r="M205">
        <v>0.39500000000000002</v>
      </c>
      <c r="N205">
        <v>0.253</v>
      </c>
    </row>
    <row r="206" spans="1:14" x14ac:dyDescent="0.25">
      <c r="A206">
        <v>89</v>
      </c>
      <c r="B206" t="s">
        <v>7</v>
      </c>
      <c r="C206" t="s">
        <v>8</v>
      </c>
      <c r="D206" t="s">
        <v>9</v>
      </c>
      <c r="E206" t="s">
        <v>3</v>
      </c>
      <c r="F206" t="s">
        <v>4</v>
      </c>
      <c r="G206" s="10">
        <v>45883</v>
      </c>
      <c r="H206" t="s">
        <v>5</v>
      </c>
      <c r="I206">
        <v>0.47299999999999998</v>
      </c>
      <c r="J206">
        <v>123805.39</v>
      </c>
      <c r="K206">
        <v>105906.85</v>
      </c>
      <c r="L206">
        <v>0.99199999999999999</v>
      </c>
      <c r="M206">
        <v>0.33100000000000002</v>
      </c>
      <c r="N206">
        <v>2E-3</v>
      </c>
    </row>
    <row r="207" spans="1:14" x14ac:dyDescent="0.25">
      <c r="A207">
        <v>88</v>
      </c>
      <c r="B207" t="s">
        <v>7</v>
      </c>
      <c r="C207" t="s">
        <v>8</v>
      </c>
      <c r="D207" t="s">
        <v>2</v>
      </c>
      <c r="E207" t="s">
        <v>3</v>
      </c>
      <c r="F207" t="s">
        <v>4</v>
      </c>
      <c r="G207" s="10">
        <v>45882</v>
      </c>
      <c r="H207" t="s">
        <v>5</v>
      </c>
      <c r="I207">
        <v>0.75800000000000001</v>
      </c>
      <c r="J207">
        <v>4638.6099999999997</v>
      </c>
      <c r="K207">
        <v>3960.91</v>
      </c>
      <c r="L207">
        <v>0.52700000000000002</v>
      </c>
      <c r="M207">
        <v>0.45600000000000002</v>
      </c>
      <c r="N207">
        <v>0.28699999999999998</v>
      </c>
    </row>
    <row r="208" spans="1:14" x14ac:dyDescent="0.25">
      <c r="A208">
        <v>87</v>
      </c>
      <c r="B208" t="s">
        <v>7</v>
      </c>
      <c r="C208" t="s">
        <v>22</v>
      </c>
      <c r="D208" t="s">
        <v>9</v>
      </c>
      <c r="E208" t="s">
        <v>12</v>
      </c>
      <c r="F208" t="s">
        <v>4</v>
      </c>
      <c r="G208" s="10">
        <v>45882</v>
      </c>
      <c r="H208" t="s">
        <v>36</v>
      </c>
      <c r="I208">
        <v>3.5999999999999997E-2</v>
      </c>
      <c r="J208">
        <v>119716.35</v>
      </c>
      <c r="K208">
        <v>102225.8</v>
      </c>
      <c r="L208">
        <v>0.67400000000000004</v>
      </c>
      <c r="M208">
        <v>0.45900000000000002</v>
      </c>
      <c r="N208">
        <v>8.1000000000000003E-2</v>
      </c>
    </row>
    <row r="209" spans="1:14" x14ac:dyDescent="0.25">
      <c r="A209">
        <v>86</v>
      </c>
      <c r="B209" t="s">
        <v>7</v>
      </c>
      <c r="C209" t="s">
        <v>8</v>
      </c>
      <c r="D209" t="s">
        <v>2</v>
      </c>
      <c r="E209" t="s">
        <v>3</v>
      </c>
      <c r="F209" t="s">
        <v>4</v>
      </c>
      <c r="G209" s="10">
        <v>45879</v>
      </c>
      <c r="H209" t="s">
        <v>36</v>
      </c>
      <c r="I209">
        <v>0</v>
      </c>
      <c r="J209">
        <v>4233.93</v>
      </c>
      <c r="K209">
        <v>3634.92</v>
      </c>
      <c r="L209">
        <v>0.95599999999999996</v>
      </c>
      <c r="M209">
        <v>0.112</v>
      </c>
      <c r="N209">
        <v>2.5000000000000001E-2</v>
      </c>
    </row>
    <row r="210" spans="1:14" x14ac:dyDescent="0.25">
      <c r="A210">
        <v>85</v>
      </c>
      <c r="B210" t="s">
        <v>15</v>
      </c>
      <c r="C210" t="s">
        <v>8</v>
      </c>
      <c r="D210" t="s">
        <v>2</v>
      </c>
      <c r="E210" t="s">
        <v>12</v>
      </c>
      <c r="F210" t="s">
        <v>4</v>
      </c>
      <c r="G210" s="10">
        <v>45878</v>
      </c>
      <c r="H210" t="s">
        <v>36</v>
      </c>
      <c r="I210">
        <v>3.2309999999999999</v>
      </c>
      <c r="J210">
        <v>3995.17</v>
      </c>
      <c r="K210">
        <v>3429.93</v>
      </c>
      <c r="L210">
        <v>0.66600000000000004</v>
      </c>
      <c r="M210">
        <v>0.42499999999999999</v>
      </c>
      <c r="N210">
        <v>7.1999999999999995E-2</v>
      </c>
    </row>
    <row r="211" spans="1:14" x14ac:dyDescent="0.25">
      <c r="A211">
        <v>84</v>
      </c>
      <c r="B211" t="s">
        <v>18</v>
      </c>
      <c r="C211" t="s">
        <v>1</v>
      </c>
      <c r="D211" t="s">
        <v>9</v>
      </c>
      <c r="E211" t="s">
        <v>12</v>
      </c>
      <c r="F211" t="s">
        <v>4</v>
      </c>
      <c r="G211" s="10">
        <v>45875</v>
      </c>
      <c r="H211" t="s">
        <v>5</v>
      </c>
      <c r="I211">
        <v>0.42199999999999999</v>
      </c>
      <c r="J211">
        <v>115205.9</v>
      </c>
      <c r="K211">
        <v>99280.99</v>
      </c>
      <c r="L211">
        <v>0.73599999999999999</v>
      </c>
      <c r="M211">
        <v>0.48599999999999999</v>
      </c>
      <c r="N211">
        <v>2.7E-2</v>
      </c>
    </row>
    <row r="212" spans="1:14" x14ac:dyDescent="0.25">
      <c r="A212">
        <v>83</v>
      </c>
      <c r="B212" t="s">
        <v>15</v>
      </c>
      <c r="C212" t="s">
        <v>1</v>
      </c>
      <c r="D212" t="s">
        <v>9</v>
      </c>
      <c r="E212" t="s">
        <v>12</v>
      </c>
      <c r="F212" t="s">
        <v>4</v>
      </c>
      <c r="G212" s="10">
        <v>45874</v>
      </c>
      <c r="H212" t="s">
        <v>5</v>
      </c>
      <c r="I212">
        <v>0.123</v>
      </c>
      <c r="J212">
        <v>115742.85</v>
      </c>
      <c r="K212">
        <v>100244.88</v>
      </c>
      <c r="L212">
        <v>0.72199999999999998</v>
      </c>
      <c r="M212">
        <v>0.29099999999999998</v>
      </c>
      <c r="N212">
        <v>5.3999999999999999E-2</v>
      </c>
    </row>
    <row r="213" spans="1:14" x14ac:dyDescent="0.25">
      <c r="A213">
        <v>82</v>
      </c>
      <c r="B213" t="s">
        <v>11</v>
      </c>
      <c r="C213" t="s">
        <v>22</v>
      </c>
      <c r="D213" t="s">
        <v>2</v>
      </c>
      <c r="E213" t="s">
        <v>3</v>
      </c>
      <c r="F213" t="s">
        <v>4</v>
      </c>
      <c r="G213" s="10">
        <v>45869</v>
      </c>
      <c r="H213" t="s">
        <v>36</v>
      </c>
      <c r="I213">
        <v>1.417</v>
      </c>
      <c r="J213">
        <v>3771.12</v>
      </c>
      <c r="K213">
        <v>3294.71</v>
      </c>
      <c r="L213">
        <v>0.58799999999999997</v>
      </c>
      <c r="M213">
        <v>0.127</v>
      </c>
      <c r="N213">
        <v>0.27600000000000002</v>
      </c>
    </row>
    <row r="214" spans="1:14" x14ac:dyDescent="0.25">
      <c r="A214">
        <v>81</v>
      </c>
      <c r="B214" t="s">
        <v>11</v>
      </c>
      <c r="C214" t="s">
        <v>8</v>
      </c>
      <c r="D214" t="s">
        <v>9</v>
      </c>
      <c r="E214" t="s">
        <v>3</v>
      </c>
      <c r="F214" t="s">
        <v>4</v>
      </c>
      <c r="G214" s="10">
        <v>45869</v>
      </c>
      <c r="H214" t="s">
        <v>36</v>
      </c>
      <c r="I214">
        <v>0.113</v>
      </c>
      <c r="J214">
        <v>116672.94</v>
      </c>
      <c r="K214">
        <v>101933.65</v>
      </c>
      <c r="L214">
        <v>0.66500000000000004</v>
      </c>
      <c r="M214">
        <v>0.35799999999999998</v>
      </c>
      <c r="N214">
        <v>7.4999999999999997E-2</v>
      </c>
    </row>
    <row r="215" spans="1:14" x14ac:dyDescent="0.25">
      <c r="A215">
        <v>80</v>
      </c>
      <c r="B215" t="s">
        <v>26</v>
      </c>
      <c r="C215" t="s">
        <v>1</v>
      </c>
      <c r="D215" t="s">
        <v>2</v>
      </c>
      <c r="E215" t="s">
        <v>12</v>
      </c>
      <c r="F215" t="s">
        <v>4</v>
      </c>
      <c r="G215" s="10">
        <v>45868</v>
      </c>
      <c r="H215" t="s">
        <v>36</v>
      </c>
      <c r="I215">
        <v>0.223</v>
      </c>
      <c r="J215">
        <v>3771.18</v>
      </c>
      <c r="K215">
        <v>3271.61</v>
      </c>
      <c r="L215">
        <v>0.73799999999999999</v>
      </c>
      <c r="M215">
        <v>0.496</v>
      </c>
      <c r="N215">
        <v>0.27500000000000002</v>
      </c>
    </row>
    <row r="216" spans="1:14" x14ac:dyDescent="0.25">
      <c r="A216">
        <v>79</v>
      </c>
      <c r="B216" t="s">
        <v>15</v>
      </c>
      <c r="C216" t="s">
        <v>8</v>
      </c>
      <c r="D216" t="s">
        <v>9</v>
      </c>
      <c r="E216" t="s">
        <v>3</v>
      </c>
      <c r="F216" t="s">
        <v>4</v>
      </c>
      <c r="G216" s="10">
        <v>45868</v>
      </c>
      <c r="H216" t="s">
        <v>36</v>
      </c>
      <c r="I216">
        <v>4.3999999999999997E-2</v>
      </c>
      <c r="J216">
        <v>116842.85</v>
      </c>
      <c r="K216">
        <v>101364.68</v>
      </c>
      <c r="L216">
        <v>0.315</v>
      </c>
      <c r="M216">
        <v>0.28699999999999998</v>
      </c>
      <c r="N216">
        <v>0.108</v>
      </c>
    </row>
    <row r="217" spans="1:14" x14ac:dyDescent="0.25">
      <c r="A217">
        <v>78</v>
      </c>
      <c r="B217" t="s">
        <v>18</v>
      </c>
      <c r="C217" t="s">
        <v>8</v>
      </c>
      <c r="D217" t="s">
        <v>2</v>
      </c>
      <c r="E217" t="s">
        <v>12</v>
      </c>
      <c r="F217" t="s">
        <v>4</v>
      </c>
      <c r="G217" s="10">
        <v>45867</v>
      </c>
      <c r="H217" t="s">
        <v>36</v>
      </c>
      <c r="I217">
        <v>0.17699999999999999</v>
      </c>
      <c r="J217">
        <v>3762.19</v>
      </c>
      <c r="K217">
        <v>3262.12</v>
      </c>
      <c r="L217">
        <v>0.99199999999999999</v>
      </c>
      <c r="M217">
        <v>0.216</v>
      </c>
      <c r="N217">
        <v>0.245</v>
      </c>
    </row>
    <row r="218" spans="1:14" x14ac:dyDescent="0.25">
      <c r="A218">
        <v>77</v>
      </c>
      <c r="B218" t="s">
        <v>7</v>
      </c>
      <c r="C218" t="s">
        <v>8</v>
      </c>
      <c r="D218" t="s">
        <v>2</v>
      </c>
      <c r="E218" t="s">
        <v>12</v>
      </c>
      <c r="F218" t="s">
        <v>4</v>
      </c>
      <c r="G218" s="10">
        <v>45866</v>
      </c>
      <c r="H218" t="s">
        <v>36</v>
      </c>
      <c r="I218">
        <v>5.0000000000000001E-3</v>
      </c>
      <c r="J218">
        <v>3855.96</v>
      </c>
      <c r="K218">
        <v>3308.69</v>
      </c>
      <c r="L218">
        <v>0.90900000000000003</v>
      </c>
      <c r="M218">
        <v>0.13900000000000001</v>
      </c>
      <c r="N218">
        <v>0.29499999999999998</v>
      </c>
    </row>
    <row r="219" spans="1:14" x14ac:dyDescent="0.25">
      <c r="A219">
        <v>76</v>
      </c>
      <c r="B219" t="s">
        <v>11</v>
      </c>
      <c r="C219" t="s">
        <v>1</v>
      </c>
      <c r="D219" t="s">
        <v>9</v>
      </c>
      <c r="E219" t="s">
        <v>12</v>
      </c>
      <c r="F219" t="s">
        <v>4</v>
      </c>
      <c r="G219" s="10">
        <v>45866</v>
      </c>
      <c r="H219" t="s">
        <v>36</v>
      </c>
      <c r="I219">
        <v>2.3E-2</v>
      </c>
      <c r="J219">
        <v>119062.49</v>
      </c>
      <c r="K219">
        <v>102163.96</v>
      </c>
      <c r="L219">
        <v>0.61099999999999999</v>
      </c>
      <c r="M219">
        <v>0.41399999999999998</v>
      </c>
      <c r="N219">
        <v>9.8000000000000004E-2</v>
      </c>
    </row>
    <row r="220" spans="1:14" x14ac:dyDescent="0.25">
      <c r="A220">
        <v>75</v>
      </c>
      <c r="B220" t="s">
        <v>0</v>
      </c>
      <c r="C220" t="s">
        <v>1</v>
      </c>
      <c r="D220" t="s">
        <v>2</v>
      </c>
      <c r="E220" t="s">
        <v>3</v>
      </c>
      <c r="F220" t="s">
        <v>4</v>
      </c>
      <c r="G220" s="10">
        <v>45863</v>
      </c>
      <c r="H220" t="s">
        <v>36</v>
      </c>
      <c r="I220">
        <v>3.2989999999999999</v>
      </c>
      <c r="J220">
        <v>3703.36</v>
      </c>
      <c r="K220">
        <v>3158.78</v>
      </c>
      <c r="L220">
        <v>6.7000000000000004E-2</v>
      </c>
      <c r="M220">
        <v>0.20799999999999999</v>
      </c>
      <c r="N220">
        <v>0.23100000000000001</v>
      </c>
    </row>
    <row r="221" spans="1:14" x14ac:dyDescent="0.25">
      <c r="A221">
        <v>74</v>
      </c>
      <c r="B221" t="s">
        <v>11</v>
      </c>
      <c r="C221" t="s">
        <v>22</v>
      </c>
      <c r="D221" t="s">
        <v>2</v>
      </c>
      <c r="E221" t="s">
        <v>12</v>
      </c>
      <c r="F221" t="s">
        <v>4</v>
      </c>
      <c r="G221" s="10">
        <v>45862</v>
      </c>
      <c r="H221" t="s">
        <v>36</v>
      </c>
      <c r="I221">
        <v>2.0310000000000001</v>
      </c>
      <c r="J221">
        <v>3619.72</v>
      </c>
      <c r="K221">
        <v>3079.05</v>
      </c>
      <c r="L221">
        <v>0.46200000000000002</v>
      </c>
      <c r="M221">
        <v>0.247</v>
      </c>
      <c r="N221">
        <v>0.16200000000000001</v>
      </c>
    </row>
    <row r="222" spans="1:14" x14ac:dyDescent="0.25">
      <c r="A222">
        <v>73</v>
      </c>
      <c r="B222" t="s">
        <v>18</v>
      </c>
      <c r="C222" t="s">
        <v>1</v>
      </c>
      <c r="D222" t="s">
        <v>2</v>
      </c>
      <c r="E222" t="s">
        <v>3</v>
      </c>
      <c r="F222" t="s">
        <v>4</v>
      </c>
      <c r="G222" s="10">
        <v>45859</v>
      </c>
      <c r="H222" t="s">
        <v>5</v>
      </c>
      <c r="I222">
        <v>0.83699999999999997</v>
      </c>
      <c r="J222">
        <v>3784.49</v>
      </c>
      <c r="K222">
        <v>3243.76</v>
      </c>
      <c r="L222">
        <v>0.505</v>
      </c>
      <c r="M222">
        <v>0.48799999999999999</v>
      </c>
      <c r="N222">
        <v>8.5000000000000006E-2</v>
      </c>
    </row>
    <row r="223" spans="1:14" x14ac:dyDescent="0.25">
      <c r="A223">
        <v>72</v>
      </c>
      <c r="B223" t="s">
        <v>15</v>
      </c>
      <c r="C223" t="s">
        <v>22</v>
      </c>
      <c r="D223" t="s">
        <v>9</v>
      </c>
      <c r="E223" t="s">
        <v>3</v>
      </c>
      <c r="F223" t="s">
        <v>4</v>
      </c>
      <c r="G223" s="10">
        <v>45859</v>
      </c>
      <c r="H223" t="s">
        <v>36</v>
      </c>
      <c r="I223">
        <v>0.159</v>
      </c>
      <c r="J223">
        <v>116592.04</v>
      </c>
      <c r="K223">
        <v>99933.37</v>
      </c>
      <c r="L223">
        <v>0.995</v>
      </c>
      <c r="M223">
        <v>0.21299999999999999</v>
      </c>
      <c r="N223">
        <v>0.20599999999999999</v>
      </c>
    </row>
    <row r="224" spans="1:14" x14ac:dyDescent="0.25">
      <c r="A224">
        <v>71</v>
      </c>
      <c r="B224" t="s">
        <v>26</v>
      </c>
      <c r="C224" t="s">
        <v>1</v>
      </c>
      <c r="D224" t="s">
        <v>2</v>
      </c>
      <c r="E224" t="s">
        <v>3</v>
      </c>
      <c r="F224" t="s">
        <v>4</v>
      </c>
      <c r="G224" s="10">
        <v>45857</v>
      </c>
      <c r="H224" t="s">
        <v>5</v>
      </c>
      <c r="I224">
        <v>4.4720000000000004</v>
      </c>
      <c r="J224">
        <v>3564.39</v>
      </c>
      <c r="K224">
        <v>3059.56</v>
      </c>
      <c r="L224">
        <v>0.68200000000000005</v>
      </c>
      <c r="M224">
        <v>0.45800000000000002</v>
      </c>
      <c r="N224">
        <v>8.9999999999999993E-3</v>
      </c>
    </row>
    <row r="225" spans="1:14" x14ac:dyDescent="0.25">
      <c r="A225">
        <v>70</v>
      </c>
      <c r="B225" t="s">
        <v>0</v>
      </c>
      <c r="C225" t="s">
        <v>1</v>
      </c>
      <c r="D225" t="s">
        <v>9</v>
      </c>
      <c r="E225" t="s">
        <v>3</v>
      </c>
      <c r="F225" t="s">
        <v>4</v>
      </c>
      <c r="G225" s="10">
        <v>45849</v>
      </c>
      <c r="H225" t="s">
        <v>36</v>
      </c>
      <c r="I225">
        <v>0.45600000000000002</v>
      </c>
      <c r="J225">
        <v>115735.97</v>
      </c>
      <c r="K225">
        <v>99063.039999999994</v>
      </c>
      <c r="L225">
        <v>0.438</v>
      </c>
      <c r="M225">
        <v>0.432</v>
      </c>
      <c r="N225">
        <v>7.0000000000000001E-3</v>
      </c>
    </row>
    <row r="226" spans="1:14" x14ac:dyDescent="0.25">
      <c r="A226">
        <v>69</v>
      </c>
      <c r="B226" t="s">
        <v>15</v>
      </c>
      <c r="C226" t="s">
        <v>22</v>
      </c>
      <c r="D226" t="s">
        <v>2</v>
      </c>
      <c r="E226" t="s">
        <v>3</v>
      </c>
      <c r="F226" t="s">
        <v>4</v>
      </c>
      <c r="G226" s="10">
        <v>45847</v>
      </c>
      <c r="H226" t="s">
        <v>36</v>
      </c>
      <c r="I226">
        <v>1.2909999999999999</v>
      </c>
      <c r="J226">
        <v>2603.8200000000002</v>
      </c>
      <c r="K226">
        <v>2225.87</v>
      </c>
      <c r="L226">
        <v>0.33500000000000002</v>
      </c>
      <c r="M226">
        <v>0.129</v>
      </c>
      <c r="N226">
        <v>3.0000000000000001E-3</v>
      </c>
    </row>
    <row r="227" spans="1:14" x14ac:dyDescent="0.25">
      <c r="A227">
        <v>68</v>
      </c>
      <c r="B227" t="s">
        <v>26</v>
      </c>
      <c r="C227" t="s">
        <v>1</v>
      </c>
      <c r="D227" t="s">
        <v>9</v>
      </c>
      <c r="E227" t="s">
        <v>12</v>
      </c>
      <c r="F227" t="s">
        <v>4</v>
      </c>
      <c r="G227" s="10">
        <v>45846</v>
      </c>
      <c r="H227" t="s">
        <v>5</v>
      </c>
      <c r="I227">
        <v>0.36899999999999999</v>
      </c>
      <c r="J227">
        <v>108856.19</v>
      </c>
      <c r="K227">
        <v>92896.78</v>
      </c>
      <c r="L227">
        <v>0.26900000000000002</v>
      </c>
      <c r="M227">
        <v>0.48699999999999999</v>
      </c>
      <c r="N227">
        <v>4.3999999999999997E-2</v>
      </c>
    </row>
    <row r="228" spans="1:14" x14ac:dyDescent="0.25">
      <c r="A228">
        <v>67</v>
      </c>
      <c r="B228" t="s">
        <v>7</v>
      </c>
      <c r="C228" t="s">
        <v>8</v>
      </c>
      <c r="D228" t="s">
        <v>2</v>
      </c>
      <c r="E228" t="s">
        <v>12</v>
      </c>
      <c r="F228" t="s">
        <v>4</v>
      </c>
      <c r="G228" s="10">
        <v>45844</v>
      </c>
      <c r="H228" t="s">
        <v>36</v>
      </c>
      <c r="I228">
        <v>0.376</v>
      </c>
      <c r="J228">
        <v>2503.5500000000002</v>
      </c>
      <c r="K228">
        <v>2127.59</v>
      </c>
      <c r="L228">
        <v>0.48499999999999999</v>
      </c>
      <c r="M228">
        <v>0.45300000000000001</v>
      </c>
      <c r="N228">
        <v>0.14499999999999999</v>
      </c>
    </row>
    <row r="229" spans="1:14" x14ac:dyDescent="0.25">
      <c r="A229">
        <v>66</v>
      </c>
      <c r="B229" t="s">
        <v>0</v>
      </c>
      <c r="C229" t="s">
        <v>22</v>
      </c>
      <c r="D229" t="s">
        <v>9</v>
      </c>
      <c r="E229" t="s">
        <v>12</v>
      </c>
      <c r="F229" t="s">
        <v>4</v>
      </c>
      <c r="G229" s="10">
        <v>45843</v>
      </c>
      <c r="H229" t="s">
        <v>36</v>
      </c>
      <c r="I229">
        <v>0.23100000000000001</v>
      </c>
      <c r="J229">
        <v>107333.18</v>
      </c>
      <c r="K229">
        <v>91214.96</v>
      </c>
      <c r="L229">
        <v>0.80900000000000005</v>
      </c>
      <c r="M229">
        <v>0.22900000000000001</v>
      </c>
      <c r="N229">
        <v>0.184</v>
      </c>
    </row>
    <row r="230" spans="1:14" x14ac:dyDescent="0.25">
      <c r="A230">
        <v>65</v>
      </c>
      <c r="B230" t="s">
        <v>0</v>
      </c>
      <c r="C230" t="s">
        <v>22</v>
      </c>
      <c r="D230" t="s">
        <v>2</v>
      </c>
      <c r="E230" t="s">
        <v>12</v>
      </c>
      <c r="F230" t="s">
        <v>4</v>
      </c>
      <c r="G230" s="10">
        <v>45840</v>
      </c>
      <c r="H230" t="s">
        <v>5</v>
      </c>
      <c r="I230">
        <v>3.2730000000000001</v>
      </c>
      <c r="J230">
        <v>2407.83</v>
      </c>
      <c r="K230">
        <v>2048.35</v>
      </c>
      <c r="L230">
        <v>0.48399999999999999</v>
      </c>
      <c r="M230">
        <v>0.22600000000000001</v>
      </c>
      <c r="N230">
        <v>1.9E-2</v>
      </c>
    </row>
    <row r="231" spans="1:14" x14ac:dyDescent="0.25">
      <c r="A231">
        <v>64</v>
      </c>
      <c r="B231" t="s">
        <v>15</v>
      </c>
      <c r="C231" t="s">
        <v>8</v>
      </c>
      <c r="D231" t="s">
        <v>9</v>
      </c>
      <c r="E231" t="s">
        <v>3</v>
      </c>
      <c r="F231" t="s">
        <v>4</v>
      </c>
      <c r="G231" s="10">
        <v>45837</v>
      </c>
      <c r="H231" t="s">
        <v>5</v>
      </c>
      <c r="I231">
        <v>0.29099999999999998</v>
      </c>
      <c r="J231">
        <v>108034.37</v>
      </c>
      <c r="K231">
        <v>92305.64</v>
      </c>
      <c r="L231">
        <v>0.60199999999999998</v>
      </c>
      <c r="M231">
        <v>0.23300000000000001</v>
      </c>
      <c r="N231">
        <v>0.152</v>
      </c>
    </row>
    <row r="232" spans="1:14" x14ac:dyDescent="0.25">
      <c r="A232">
        <v>63</v>
      </c>
      <c r="B232" t="s">
        <v>7</v>
      </c>
      <c r="C232" t="s">
        <v>22</v>
      </c>
      <c r="D232" t="s">
        <v>9</v>
      </c>
      <c r="E232" t="s">
        <v>3</v>
      </c>
      <c r="F232" t="s">
        <v>4</v>
      </c>
      <c r="G232" s="10">
        <v>45833</v>
      </c>
      <c r="H232" t="s">
        <v>36</v>
      </c>
      <c r="I232">
        <v>0.23699999999999999</v>
      </c>
      <c r="J232">
        <v>105654.72</v>
      </c>
      <c r="K232">
        <v>91097.61</v>
      </c>
      <c r="L232">
        <v>0.314</v>
      </c>
      <c r="M232">
        <v>4.3999999999999997E-2</v>
      </c>
      <c r="N232">
        <v>0.122</v>
      </c>
    </row>
    <row r="233" spans="1:14" x14ac:dyDescent="0.25">
      <c r="A233">
        <v>62</v>
      </c>
      <c r="B233" t="s">
        <v>18</v>
      </c>
      <c r="C233" t="s">
        <v>22</v>
      </c>
      <c r="D233" t="s">
        <v>9</v>
      </c>
      <c r="E233" t="s">
        <v>3</v>
      </c>
      <c r="F233" t="s">
        <v>4</v>
      </c>
      <c r="G233" s="10">
        <v>45832</v>
      </c>
      <c r="H233" t="s">
        <v>36</v>
      </c>
      <c r="I233">
        <v>7.5999999999999998E-2</v>
      </c>
      <c r="J233">
        <v>104741.57</v>
      </c>
      <c r="K233">
        <v>90240.1</v>
      </c>
      <c r="L233">
        <v>0.86599999999999999</v>
      </c>
      <c r="M233">
        <v>0.499</v>
      </c>
      <c r="N233">
        <v>0.249</v>
      </c>
    </row>
    <row r="234" spans="1:14" x14ac:dyDescent="0.25">
      <c r="A234">
        <v>61</v>
      </c>
      <c r="B234" t="s">
        <v>0</v>
      </c>
      <c r="C234" t="s">
        <v>22</v>
      </c>
      <c r="D234" t="s">
        <v>2</v>
      </c>
      <c r="E234" t="s">
        <v>12</v>
      </c>
      <c r="F234" t="s">
        <v>4</v>
      </c>
      <c r="G234" s="10">
        <v>45830</v>
      </c>
      <c r="H234" t="s">
        <v>5</v>
      </c>
      <c r="I234">
        <v>3.169</v>
      </c>
      <c r="J234">
        <v>2283.9</v>
      </c>
      <c r="K234">
        <v>1983.41</v>
      </c>
      <c r="L234">
        <v>0.44600000000000001</v>
      </c>
      <c r="M234">
        <v>0.39900000000000002</v>
      </c>
      <c r="N234">
        <v>4.2999999999999997E-2</v>
      </c>
    </row>
    <row r="235" spans="1:14" x14ac:dyDescent="0.25">
      <c r="A235">
        <v>60</v>
      </c>
      <c r="B235" t="s">
        <v>0</v>
      </c>
      <c r="C235" t="s">
        <v>1</v>
      </c>
      <c r="D235" t="s">
        <v>9</v>
      </c>
      <c r="E235" t="s">
        <v>12</v>
      </c>
      <c r="F235" t="s">
        <v>4</v>
      </c>
      <c r="G235" s="10">
        <v>45830</v>
      </c>
      <c r="H235" t="s">
        <v>5</v>
      </c>
      <c r="I235">
        <v>0.497</v>
      </c>
      <c r="J235">
        <v>101836.97</v>
      </c>
      <c r="K235">
        <v>88438.28</v>
      </c>
      <c r="L235">
        <v>0.79300000000000004</v>
      </c>
      <c r="M235">
        <v>0.109</v>
      </c>
      <c r="N235">
        <v>2.3E-2</v>
      </c>
    </row>
    <row r="236" spans="1:14" x14ac:dyDescent="0.25">
      <c r="A236">
        <v>59</v>
      </c>
      <c r="B236" t="s">
        <v>11</v>
      </c>
      <c r="C236" t="s">
        <v>22</v>
      </c>
      <c r="D236" t="s">
        <v>2</v>
      </c>
      <c r="E236" t="s">
        <v>3</v>
      </c>
      <c r="F236" t="s">
        <v>4</v>
      </c>
      <c r="G236" s="10">
        <v>45829</v>
      </c>
      <c r="H236" t="s">
        <v>5</v>
      </c>
      <c r="I236">
        <v>0.45600000000000002</v>
      </c>
      <c r="J236">
        <v>2424.92</v>
      </c>
      <c r="K236">
        <v>2105.87</v>
      </c>
      <c r="L236">
        <v>0.36499999999999999</v>
      </c>
      <c r="M236">
        <v>0.19400000000000001</v>
      </c>
      <c r="N236">
        <v>0.129</v>
      </c>
    </row>
    <row r="237" spans="1:14" x14ac:dyDescent="0.25">
      <c r="A237">
        <v>58</v>
      </c>
      <c r="B237" t="s">
        <v>0</v>
      </c>
      <c r="C237" t="s">
        <v>22</v>
      </c>
      <c r="D237" t="s">
        <v>9</v>
      </c>
      <c r="E237" t="s">
        <v>3</v>
      </c>
      <c r="F237" t="s">
        <v>4</v>
      </c>
      <c r="G237" s="10">
        <v>45829</v>
      </c>
      <c r="H237" t="s">
        <v>5</v>
      </c>
      <c r="I237">
        <v>4.8000000000000001E-2</v>
      </c>
      <c r="J237">
        <v>103482.4</v>
      </c>
      <c r="K237">
        <v>89867.22</v>
      </c>
      <c r="L237">
        <v>0.47699999999999998</v>
      </c>
      <c r="M237">
        <v>0.16900000000000001</v>
      </c>
      <c r="N237">
        <v>0.20300000000000001</v>
      </c>
    </row>
    <row r="238" spans="1:14" x14ac:dyDescent="0.25">
      <c r="A238">
        <v>57</v>
      </c>
      <c r="B238" t="s">
        <v>0</v>
      </c>
      <c r="C238" t="s">
        <v>8</v>
      </c>
      <c r="D238" t="s">
        <v>2</v>
      </c>
      <c r="E238" t="s">
        <v>3</v>
      </c>
      <c r="F238" t="s">
        <v>4</v>
      </c>
      <c r="G238" s="10">
        <v>45828</v>
      </c>
      <c r="H238" t="s">
        <v>5</v>
      </c>
      <c r="I238">
        <v>2.2909999999999999</v>
      </c>
      <c r="J238">
        <v>2533.5</v>
      </c>
      <c r="K238">
        <v>2200.17</v>
      </c>
      <c r="L238">
        <v>0.82699999999999996</v>
      </c>
      <c r="M238">
        <v>0.193</v>
      </c>
      <c r="N238">
        <v>3.5999999999999997E-2</v>
      </c>
    </row>
    <row r="239" spans="1:14" x14ac:dyDescent="0.25">
      <c r="A239">
        <v>56</v>
      </c>
      <c r="B239" t="s">
        <v>7</v>
      </c>
      <c r="C239" t="s">
        <v>1</v>
      </c>
      <c r="D239" t="s">
        <v>9</v>
      </c>
      <c r="E239" t="s">
        <v>12</v>
      </c>
      <c r="F239" t="s">
        <v>4</v>
      </c>
      <c r="G239" s="10">
        <v>45828</v>
      </c>
      <c r="H239" t="s">
        <v>5</v>
      </c>
      <c r="I239">
        <v>0.30599999999999999</v>
      </c>
      <c r="J239">
        <v>104884</v>
      </c>
      <c r="K239">
        <v>91084.41</v>
      </c>
      <c r="L239">
        <v>0.79300000000000004</v>
      </c>
      <c r="M239">
        <v>0.46300000000000002</v>
      </c>
      <c r="N239">
        <v>0.253</v>
      </c>
    </row>
    <row r="240" spans="1:14" x14ac:dyDescent="0.25">
      <c r="A240">
        <v>55</v>
      </c>
      <c r="B240" t="s">
        <v>15</v>
      </c>
      <c r="C240" t="s">
        <v>8</v>
      </c>
      <c r="D240" t="s">
        <v>9</v>
      </c>
      <c r="E240" t="s">
        <v>12</v>
      </c>
      <c r="F240" t="s">
        <v>4</v>
      </c>
      <c r="G240" s="10">
        <v>45827</v>
      </c>
      <c r="H240" t="s">
        <v>5</v>
      </c>
      <c r="I240">
        <v>0.28599999999999998</v>
      </c>
      <c r="J240">
        <v>105473.42</v>
      </c>
      <c r="K240">
        <v>91891.61</v>
      </c>
      <c r="L240">
        <v>0.88700000000000001</v>
      </c>
      <c r="M240">
        <v>0.46600000000000003</v>
      </c>
      <c r="N240">
        <v>0.26500000000000001</v>
      </c>
    </row>
    <row r="241" spans="1:14" x14ac:dyDescent="0.25">
      <c r="A241">
        <v>54</v>
      </c>
      <c r="B241" t="s">
        <v>11</v>
      </c>
      <c r="C241" t="s">
        <v>8</v>
      </c>
      <c r="D241" t="s">
        <v>9</v>
      </c>
      <c r="E241" t="s">
        <v>12</v>
      </c>
      <c r="F241" t="s">
        <v>4</v>
      </c>
      <c r="G241" s="10">
        <v>45826</v>
      </c>
      <c r="H241" t="s">
        <v>5</v>
      </c>
      <c r="I241">
        <v>0.41399999999999998</v>
      </c>
      <c r="J241">
        <v>104926.34</v>
      </c>
      <c r="K241">
        <v>91176.8</v>
      </c>
      <c r="L241">
        <v>0.97099999999999997</v>
      </c>
      <c r="M241">
        <v>0.45700000000000002</v>
      </c>
      <c r="N241">
        <v>0.152</v>
      </c>
    </row>
    <row r="242" spans="1:14" x14ac:dyDescent="0.25">
      <c r="A242">
        <v>53</v>
      </c>
      <c r="B242" t="s">
        <v>7</v>
      </c>
      <c r="C242" t="s">
        <v>1</v>
      </c>
      <c r="D242" t="s">
        <v>2</v>
      </c>
      <c r="E242" t="s">
        <v>12</v>
      </c>
      <c r="F242" t="s">
        <v>4</v>
      </c>
      <c r="G242" s="10">
        <v>45825</v>
      </c>
      <c r="H242" t="s">
        <v>5</v>
      </c>
      <c r="I242">
        <v>2.3050000000000002</v>
      </c>
      <c r="J242">
        <v>2574.2199999999998</v>
      </c>
      <c r="K242">
        <v>2225.2800000000002</v>
      </c>
      <c r="L242">
        <v>0.251</v>
      </c>
      <c r="M242">
        <v>0.32200000000000001</v>
      </c>
      <c r="N242">
        <v>7.1999999999999995E-2</v>
      </c>
    </row>
    <row r="243" spans="1:14" x14ac:dyDescent="0.25">
      <c r="A243">
        <v>52</v>
      </c>
      <c r="B243" t="s">
        <v>18</v>
      </c>
      <c r="C243" t="s">
        <v>1</v>
      </c>
      <c r="D243" t="s">
        <v>2</v>
      </c>
      <c r="E243" t="s">
        <v>3</v>
      </c>
      <c r="F243" t="s">
        <v>4</v>
      </c>
      <c r="G243" s="10">
        <v>45823</v>
      </c>
      <c r="H243" t="s">
        <v>5</v>
      </c>
      <c r="I243">
        <v>0.16600000000000001</v>
      </c>
      <c r="J243">
        <v>2550.04</v>
      </c>
      <c r="K243">
        <v>2215.12</v>
      </c>
      <c r="L243">
        <v>0.39400000000000002</v>
      </c>
      <c r="M243">
        <v>0.17799999999999999</v>
      </c>
      <c r="N243">
        <v>0.26300000000000001</v>
      </c>
    </row>
    <row r="244" spans="1:14" x14ac:dyDescent="0.25">
      <c r="A244">
        <v>51</v>
      </c>
      <c r="B244" t="s">
        <v>26</v>
      </c>
      <c r="C244" t="s">
        <v>8</v>
      </c>
      <c r="D244" t="s">
        <v>2</v>
      </c>
      <c r="E244" t="s">
        <v>3</v>
      </c>
      <c r="F244" t="s">
        <v>4</v>
      </c>
      <c r="G244" s="10">
        <v>45821</v>
      </c>
      <c r="H244" t="s">
        <v>5</v>
      </c>
      <c r="I244">
        <v>3.2490000000000001</v>
      </c>
      <c r="J244">
        <v>2664.4</v>
      </c>
      <c r="K244">
        <v>2314.4499999999998</v>
      </c>
      <c r="L244">
        <v>0.30499999999999999</v>
      </c>
      <c r="M244">
        <v>0.33800000000000002</v>
      </c>
      <c r="N244">
        <v>4.9000000000000002E-2</v>
      </c>
    </row>
    <row r="245" spans="1:14" x14ac:dyDescent="0.25">
      <c r="A245">
        <v>50</v>
      </c>
      <c r="B245" t="s">
        <v>15</v>
      </c>
      <c r="C245" t="s">
        <v>22</v>
      </c>
      <c r="D245" t="s">
        <v>9</v>
      </c>
      <c r="E245" t="s">
        <v>3</v>
      </c>
      <c r="F245" t="s">
        <v>4</v>
      </c>
      <c r="G245" s="10">
        <v>45821</v>
      </c>
      <c r="H245" t="s">
        <v>5</v>
      </c>
      <c r="I245">
        <v>0.20699999999999999</v>
      </c>
      <c r="J245">
        <v>106624.32000000001</v>
      </c>
      <c r="K245">
        <v>92620.28</v>
      </c>
      <c r="L245">
        <v>0.39400000000000002</v>
      </c>
      <c r="M245">
        <v>0.128</v>
      </c>
      <c r="N245">
        <v>4.3999999999999997E-2</v>
      </c>
    </row>
    <row r="246" spans="1:14" x14ac:dyDescent="0.25">
      <c r="A246">
        <v>49</v>
      </c>
      <c r="B246" t="s">
        <v>18</v>
      </c>
      <c r="C246" t="s">
        <v>8</v>
      </c>
      <c r="D246" t="s">
        <v>2</v>
      </c>
      <c r="E246" t="s">
        <v>12</v>
      </c>
      <c r="F246" t="s">
        <v>4</v>
      </c>
      <c r="G246" s="10">
        <v>45819</v>
      </c>
      <c r="H246" t="s">
        <v>36</v>
      </c>
      <c r="I246">
        <v>3.3959999999999999</v>
      </c>
      <c r="J246">
        <v>2787.42</v>
      </c>
      <c r="K246">
        <v>2438.0500000000002</v>
      </c>
      <c r="L246">
        <v>0.497</v>
      </c>
      <c r="M246">
        <v>0.48499999999999999</v>
      </c>
      <c r="N246">
        <v>0.183</v>
      </c>
    </row>
    <row r="247" spans="1:14" x14ac:dyDescent="0.25">
      <c r="A247">
        <v>48</v>
      </c>
      <c r="B247" t="s">
        <v>18</v>
      </c>
      <c r="C247" t="s">
        <v>22</v>
      </c>
      <c r="D247" t="s">
        <v>9</v>
      </c>
      <c r="E247" t="s">
        <v>12</v>
      </c>
      <c r="F247" t="s">
        <v>4</v>
      </c>
      <c r="G247" s="10">
        <v>45819</v>
      </c>
      <c r="H247" t="s">
        <v>5</v>
      </c>
      <c r="I247">
        <v>0.27600000000000002</v>
      </c>
      <c r="J247">
        <v>111150.39999999999</v>
      </c>
      <c r="K247">
        <v>97218.81</v>
      </c>
      <c r="L247">
        <v>0.30599999999999999</v>
      </c>
      <c r="M247">
        <v>0.379</v>
      </c>
      <c r="N247">
        <v>0.20699999999999999</v>
      </c>
    </row>
    <row r="248" spans="1:14" x14ac:dyDescent="0.25">
      <c r="A248">
        <v>47</v>
      </c>
      <c r="B248" t="s">
        <v>18</v>
      </c>
      <c r="C248" t="s">
        <v>8</v>
      </c>
      <c r="D248" t="s">
        <v>2</v>
      </c>
      <c r="E248" t="s">
        <v>12</v>
      </c>
      <c r="F248" t="s">
        <v>4</v>
      </c>
      <c r="G248" s="10">
        <v>45818</v>
      </c>
      <c r="H248" t="s">
        <v>5</v>
      </c>
      <c r="I248">
        <v>2.718</v>
      </c>
      <c r="J248">
        <v>2700.8</v>
      </c>
      <c r="K248">
        <v>2363.12</v>
      </c>
      <c r="L248">
        <v>0.56799999999999995</v>
      </c>
      <c r="M248">
        <v>0.253</v>
      </c>
      <c r="N248">
        <v>9.5000000000000001E-2</v>
      </c>
    </row>
    <row r="249" spans="1:14" x14ac:dyDescent="0.25">
      <c r="A249">
        <v>46</v>
      </c>
      <c r="B249" t="s">
        <v>18</v>
      </c>
      <c r="C249" t="s">
        <v>8</v>
      </c>
      <c r="D249" t="s">
        <v>2</v>
      </c>
      <c r="E249" t="s">
        <v>3</v>
      </c>
      <c r="F249" t="s">
        <v>4</v>
      </c>
      <c r="G249" s="10">
        <v>45816</v>
      </c>
      <c r="H249" t="s">
        <v>5</v>
      </c>
      <c r="I249">
        <v>1.028</v>
      </c>
      <c r="J249">
        <v>2534.0100000000002</v>
      </c>
      <c r="K249">
        <v>2220.6799999999998</v>
      </c>
      <c r="L249">
        <v>0.245</v>
      </c>
      <c r="M249">
        <v>0.32700000000000001</v>
      </c>
      <c r="N249">
        <v>2.9000000000000001E-2</v>
      </c>
    </row>
    <row r="250" spans="1:14" x14ac:dyDescent="0.25">
      <c r="A250">
        <v>45</v>
      </c>
      <c r="B250" t="s">
        <v>26</v>
      </c>
      <c r="C250" t="s">
        <v>22</v>
      </c>
      <c r="D250" t="s">
        <v>9</v>
      </c>
      <c r="E250" t="s">
        <v>3</v>
      </c>
      <c r="F250" t="s">
        <v>4</v>
      </c>
      <c r="G250" s="10">
        <v>45816</v>
      </c>
      <c r="H250" t="s">
        <v>5</v>
      </c>
      <c r="I250">
        <v>1.4E-2</v>
      </c>
      <c r="J250">
        <v>106632.43</v>
      </c>
      <c r="K250">
        <v>93447.33</v>
      </c>
      <c r="L250">
        <v>0.32300000000000001</v>
      </c>
      <c r="M250">
        <v>0.19400000000000001</v>
      </c>
      <c r="N250">
        <v>4.0000000000000001E-3</v>
      </c>
    </row>
    <row r="251" spans="1:14" x14ac:dyDescent="0.25">
      <c r="A251">
        <v>44</v>
      </c>
      <c r="B251" t="s">
        <v>18</v>
      </c>
      <c r="C251" t="s">
        <v>1</v>
      </c>
      <c r="D251" t="s">
        <v>2</v>
      </c>
      <c r="E251" t="s">
        <v>3</v>
      </c>
      <c r="F251" t="s">
        <v>4</v>
      </c>
      <c r="G251" s="10">
        <v>45811</v>
      </c>
      <c r="H251" t="s">
        <v>36</v>
      </c>
      <c r="I251">
        <v>0.34699999999999998</v>
      </c>
      <c r="J251">
        <v>2599.9299999999998</v>
      </c>
      <c r="K251">
        <v>2283.44</v>
      </c>
      <c r="L251">
        <v>0.63800000000000001</v>
      </c>
      <c r="M251">
        <v>1.2E-2</v>
      </c>
      <c r="N251">
        <v>0.20599999999999999</v>
      </c>
    </row>
    <row r="252" spans="1:14" x14ac:dyDescent="0.25">
      <c r="A252">
        <v>43</v>
      </c>
      <c r="B252" t="s">
        <v>15</v>
      </c>
      <c r="C252" t="s">
        <v>1</v>
      </c>
      <c r="D252" t="s">
        <v>9</v>
      </c>
      <c r="E252" t="s">
        <v>3</v>
      </c>
      <c r="F252" t="s">
        <v>4</v>
      </c>
      <c r="G252" s="10">
        <v>45811</v>
      </c>
      <c r="H252" t="s">
        <v>36</v>
      </c>
      <c r="I252">
        <v>0.25700000000000001</v>
      </c>
      <c r="J252">
        <v>105604.33</v>
      </c>
      <c r="K252">
        <v>92749.119999999995</v>
      </c>
      <c r="L252">
        <v>0.91300000000000003</v>
      </c>
      <c r="M252">
        <v>0.33700000000000002</v>
      </c>
      <c r="N252">
        <v>0.115</v>
      </c>
    </row>
    <row r="253" spans="1:14" x14ac:dyDescent="0.25">
      <c r="A253">
        <v>42</v>
      </c>
      <c r="B253" t="s">
        <v>26</v>
      </c>
      <c r="C253" t="s">
        <v>22</v>
      </c>
      <c r="D253" t="s">
        <v>2</v>
      </c>
      <c r="E253" t="s">
        <v>3</v>
      </c>
      <c r="F253" t="s">
        <v>4</v>
      </c>
      <c r="G253" s="10">
        <v>45810</v>
      </c>
      <c r="H253" t="s">
        <v>36</v>
      </c>
      <c r="I253">
        <v>0.55400000000000005</v>
      </c>
      <c r="J253">
        <v>2522.38</v>
      </c>
      <c r="K253">
        <v>2208.9299999999998</v>
      </c>
      <c r="L253">
        <v>0.24399999999999999</v>
      </c>
      <c r="M253">
        <v>3.4000000000000002E-2</v>
      </c>
      <c r="N253">
        <v>0.27600000000000002</v>
      </c>
    </row>
    <row r="254" spans="1:14" x14ac:dyDescent="0.25">
      <c r="A254">
        <v>41</v>
      </c>
      <c r="B254" t="s">
        <v>18</v>
      </c>
      <c r="C254" t="s">
        <v>8</v>
      </c>
      <c r="D254" t="s">
        <v>2</v>
      </c>
      <c r="E254" t="s">
        <v>3</v>
      </c>
      <c r="F254" t="s">
        <v>4</v>
      </c>
      <c r="G254" s="10">
        <v>45808</v>
      </c>
      <c r="H254" t="s">
        <v>5</v>
      </c>
      <c r="I254">
        <v>1.0620000000000001</v>
      </c>
      <c r="J254">
        <v>2539.5100000000002</v>
      </c>
      <c r="K254">
        <v>2239.62</v>
      </c>
      <c r="L254">
        <v>0.373</v>
      </c>
      <c r="M254">
        <v>0.28299999999999997</v>
      </c>
      <c r="N254">
        <v>0.19400000000000001</v>
      </c>
    </row>
    <row r="255" spans="1:14" x14ac:dyDescent="0.25">
      <c r="A255">
        <v>40</v>
      </c>
      <c r="B255" t="s">
        <v>26</v>
      </c>
      <c r="C255" t="s">
        <v>8</v>
      </c>
      <c r="D255" t="s">
        <v>2</v>
      </c>
      <c r="E255" t="s">
        <v>12</v>
      </c>
      <c r="F255" t="s">
        <v>4</v>
      </c>
      <c r="G255" s="10">
        <v>45805</v>
      </c>
      <c r="H255" t="s">
        <v>5</v>
      </c>
      <c r="I255">
        <v>0.249</v>
      </c>
      <c r="J255">
        <v>2687.85</v>
      </c>
      <c r="K255">
        <v>2375.0700000000002</v>
      </c>
      <c r="L255">
        <v>6.6000000000000003E-2</v>
      </c>
      <c r="M255">
        <v>0.497</v>
      </c>
      <c r="N255">
        <v>1.2E-2</v>
      </c>
    </row>
    <row r="256" spans="1:14" x14ac:dyDescent="0.25">
      <c r="A256">
        <v>39</v>
      </c>
      <c r="B256" t="s">
        <v>15</v>
      </c>
      <c r="C256" t="s">
        <v>22</v>
      </c>
      <c r="D256" t="s">
        <v>2</v>
      </c>
      <c r="E256" t="s">
        <v>12</v>
      </c>
      <c r="F256" t="s">
        <v>4</v>
      </c>
      <c r="G256" s="10">
        <v>45803</v>
      </c>
      <c r="H256" t="s">
        <v>36</v>
      </c>
      <c r="I256">
        <v>0.56399999999999995</v>
      </c>
      <c r="J256">
        <v>2537.7399999999998</v>
      </c>
      <c r="K256">
        <v>2229.81</v>
      </c>
      <c r="L256">
        <v>0.621</v>
      </c>
      <c r="M256">
        <v>1.9E-2</v>
      </c>
      <c r="N256">
        <v>2.5999999999999999E-2</v>
      </c>
    </row>
    <row r="257" spans="1:14" x14ac:dyDescent="0.25">
      <c r="A257">
        <v>38</v>
      </c>
      <c r="B257" t="s">
        <v>0</v>
      </c>
      <c r="C257" t="s">
        <v>8</v>
      </c>
      <c r="D257" t="s">
        <v>9</v>
      </c>
      <c r="E257" t="s">
        <v>12</v>
      </c>
      <c r="F257" t="s">
        <v>4</v>
      </c>
      <c r="G257" s="10">
        <v>45802</v>
      </c>
      <c r="H257" t="s">
        <v>5</v>
      </c>
      <c r="I257">
        <v>1.2999999999999999E-2</v>
      </c>
      <c r="J257">
        <v>107950.55</v>
      </c>
      <c r="K257">
        <v>95523.28</v>
      </c>
      <c r="L257">
        <v>0.496</v>
      </c>
      <c r="M257">
        <v>0.48899999999999999</v>
      </c>
      <c r="N257">
        <v>0.13300000000000001</v>
      </c>
    </row>
    <row r="258" spans="1:14" x14ac:dyDescent="0.25">
      <c r="A258">
        <v>37</v>
      </c>
      <c r="B258" t="s">
        <v>0</v>
      </c>
      <c r="C258" t="s">
        <v>22</v>
      </c>
      <c r="D258" t="s">
        <v>2</v>
      </c>
      <c r="E258" t="s">
        <v>12</v>
      </c>
      <c r="F258" t="s">
        <v>4</v>
      </c>
      <c r="G258" s="10">
        <v>45800</v>
      </c>
      <c r="H258" t="s">
        <v>5</v>
      </c>
      <c r="I258">
        <v>3.2959999999999998</v>
      </c>
      <c r="J258">
        <v>2668.57</v>
      </c>
      <c r="K258">
        <v>2361.36</v>
      </c>
      <c r="L258">
        <v>0.73099999999999998</v>
      </c>
      <c r="M258">
        <v>0.46100000000000002</v>
      </c>
      <c r="N258">
        <v>0.109</v>
      </c>
    </row>
    <row r="259" spans="1:14" x14ac:dyDescent="0.25">
      <c r="A259">
        <v>36</v>
      </c>
      <c r="B259" t="s">
        <v>18</v>
      </c>
      <c r="C259" t="s">
        <v>8</v>
      </c>
      <c r="D259" t="s">
        <v>9</v>
      </c>
      <c r="E259" t="s">
        <v>3</v>
      </c>
      <c r="F259" t="s">
        <v>4</v>
      </c>
      <c r="G259" s="10">
        <v>45798</v>
      </c>
      <c r="H259" t="s">
        <v>5</v>
      </c>
      <c r="I259">
        <v>1.4999999999999999E-2</v>
      </c>
      <c r="J259">
        <v>107059.48</v>
      </c>
      <c r="K259">
        <v>94566.71</v>
      </c>
      <c r="L259">
        <v>0.40300000000000002</v>
      </c>
      <c r="M259">
        <v>0.317</v>
      </c>
      <c r="N259">
        <v>0.14399999999999999</v>
      </c>
    </row>
    <row r="260" spans="1:14" x14ac:dyDescent="0.25">
      <c r="A260">
        <v>35</v>
      </c>
      <c r="B260" t="s">
        <v>7</v>
      </c>
      <c r="C260" t="s">
        <v>1</v>
      </c>
      <c r="D260" t="s">
        <v>2</v>
      </c>
      <c r="E260" t="s">
        <v>3</v>
      </c>
      <c r="F260" t="s">
        <v>4</v>
      </c>
      <c r="G260" s="10">
        <v>45797</v>
      </c>
      <c r="H260" t="s">
        <v>36</v>
      </c>
      <c r="I260">
        <v>0.71799999999999997</v>
      </c>
      <c r="J260">
        <v>2517.73</v>
      </c>
      <c r="K260">
        <v>2239.77</v>
      </c>
      <c r="L260">
        <v>6.3E-2</v>
      </c>
      <c r="M260">
        <v>0.16900000000000001</v>
      </c>
      <c r="N260">
        <v>0.19500000000000001</v>
      </c>
    </row>
    <row r="261" spans="1:14" x14ac:dyDescent="0.25">
      <c r="A261">
        <v>34</v>
      </c>
      <c r="B261" t="s">
        <v>11</v>
      </c>
      <c r="C261" t="s">
        <v>22</v>
      </c>
      <c r="D261" t="s">
        <v>9</v>
      </c>
      <c r="E261" t="s">
        <v>3</v>
      </c>
      <c r="F261" t="s">
        <v>4</v>
      </c>
      <c r="G261" s="10">
        <v>45797</v>
      </c>
      <c r="H261" t="s">
        <v>5</v>
      </c>
      <c r="I261">
        <v>0.33500000000000002</v>
      </c>
      <c r="J261">
        <v>106326.77</v>
      </c>
      <c r="K261">
        <v>94588.29</v>
      </c>
      <c r="L261">
        <v>0.61899999999999999</v>
      </c>
      <c r="M261">
        <v>0.30299999999999999</v>
      </c>
      <c r="N261">
        <v>0.14899999999999999</v>
      </c>
    </row>
    <row r="262" spans="1:14" x14ac:dyDescent="0.25">
      <c r="A262">
        <v>33</v>
      </c>
      <c r="B262" t="s">
        <v>7</v>
      </c>
      <c r="C262" t="s">
        <v>1</v>
      </c>
      <c r="D262" t="s">
        <v>9</v>
      </c>
      <c r="E262" t="s">
        <v>3</v>
      </c>
      <c r="F262" t="s">
        <v>4</v>
      </c>
      <c r="G262" s="10">
        <v>45796</v>
      </c>
      <c r="H262" t="s">
        <v>5</v>
      </c>
      <c r="I262">
        <v>0.13700000000000001</v>
      </c>
      <c r="J262">
        <v>106951.64</v>
      </c>
      <c r="K262">
        <v>94966.64</v>
      </c>
      <c r="L262">
        <v>6.0000000000000001E-3</v>
      </c>
      <c r="M262">
        <v>0.23400000000000001</v>
      </c>
      <c r="N262">
        <v>7.2999999999999995E-2</v>
      </c>
    </row>
    <row r="263" spans="1:14" x14ac:dyDescent="0.25">
      <c r="A263">
        <v>32</v>
      </c>
      <c r="B263" t="s">
        <v>18</v>
      </c>
      <c r="C263" t="s">
        <v>22</v>
      </c>
      <c r="D263" t="s">
        <v>2</v>
      </c>
      <c r="E263" t="s">
        <v>3</v>
      </c>
      <c r="F263" t="s">
        <v>4</v>
      </c>
      <c r="G263" s="10">
        <v>45792</v>
      </c>
      <c r="H263" t="s">
        <v>5</v>
      </c>
      <c r="I263">
        <v>0.154</v>
      </c>
      <c r="J263">
        <v>2621.98</v>
      </c>
      <c r="K263">
        <v>2344.1799999999998</v>
      </c>
      <c r="L263">
        <v>7.4999999999999997E-2</v>
      </c>
      <c r="M263">
        <v>0.435</v>
      </c>
      <c r="N263">
        <v>7.5999999999999998E-2</v>
      </c>
    </row>
    <row r="264" spans="1:14" x14ac:dyDescent="0.25">
      <c r="A264">
        <v>31</v>
      </c>
      <c r="B264" t="s">
        <v>11</v>
      </c>
      <c r="C264" t="s">
        <v>1</v>
      </c>
      <c r="D264" t="s">
        <v>2</v>
      </c>
      <c r="E264" t="s">
        <v>3</v>
      </c>
      <c r="F264" t="s">
        <v>4</v>
      </c>
      <c r="G264" s="10">
        <v>45791</v>
      </c>
      <c r="H264" t="s">
        <v>5</v>
      </c>
      <c r="I264">
        <v>4.4740000000000002</v>
      </c>
      <c r="J264">
        <v>2691.53</v>
      </c>
      <c r="K264">
        <v>2400.14</v>
      </c>
      <c r="L264">
        <v>0.77400000000000002</v>
      </c>
      <c r="M264">
        <v>0.308</v>
      </c>
      <c r="N264">
        <v>0.27300000000000002</v>
      </c>
    </row>
    <row r="265" spans="1:14" x14ac:dyDescent="0.25">
      <c r="A265">
        <v>30</v>
      </c>
      <c r="B265" t="s">
        <v>15</v>
      </c>
      <c r="C265" t="s">
        <v>1</v>
      </c>
      <c r="D265" t="s">
        <v>9</v>
      </c>
      <c r="E265" t="s">
        <v>3</v>
      </c>
      <c r="F265" t="s">
        <v>4</v>
      </c>
      <c r="G265" s="10">
        <v>45791</v>
      </c>
      <c r="H265" t="s">
        <v>5</v>
      </c>
      <c r="I265">
        <v>0.46899999999999997</v>
      </c>
      <c r="J265">
        <v>104430.99</v>
      </c>
      <c r="K265">
        <v>93125.3</v>
      </c>
      <c r="L265">
        <v>0.222</v>
      </c>
      <c r="M265">
        <v>0.36199999999999999</v>
      </c>
      <c r="N265">
        <v>9.7000000000000003E-2</v>
      </c>
    </row>
    <row r="266" spans="1:14" x14ac:dyDescent="0.25">
      <c r="A266">
        <v>29</v>
      </c>
      <c r="B266" t="s">
        <v>15</v>
      </c>
      <c r="C266" t="s">
        <v>8</v>
      </c>
      <c r="D266" t="s">
        <v>2</v>
      </c>
      <c r="E266" t="s">
        <v>3</v>
      </c>
      <c r="F266" t="s">
        <v>4</v>
      </c>
      <c r="G266" s="10">
        <v>45789</v>
      </c>
      <c r="H266" t="s">
        <v>5</v>
      </c>
      <c r="I266">
        <v>4.8570000000000002</v>
      </c>
      <c r="J266">
        <v>2528.46</v>
      </c>
      <c r="K266">
        <v>2276.65</v>
      </c>
      <c r="L266">
        <v>0.92400000000000004</v>
      </c>
      <c r="M266">
        <v>0.33400000000000002</v>
      </c>
      <c r="N266">
        <v>3.0000000000000001E-3</v>
      </c>
    </row>
    <row r="267" spans="1:14" x14ac:dyDescent="0.25">
      <c r="A267">
        <v>28</v>
      </c>
      <c r="B267" t="s">
        <v>11</v>
      </c>
      <c r="C267" t="s">
        <v>1</v>
      </c>
      <c r="D267" t="s">
        <v>9</v>
      </c>
      <c r="E267" t="s">
        <v>12</v>
      </c>
      <c r="F267" t="s">
        <v>4</v>
      </c>
      <c r="G267" s="10">
        <v>45788</v>
      </c>
      <c r="H267" t="s">
        <v>5</v>
      </c>
      <c r="I267">
        <v>0.34799999999999998</v>
      </c>
      <c r="J267">
        <v>105542.59</v>
      </c>
      <c r="K267">
        <v>93798.87</v>
      </c>
      <c r="L267">
        <v>0.51300000000000001</v>
      </c>
      <c r="M267">
        <v>0.122</v>
      </c>
      <c r="N267">
        <v>0.107</v>
      </c>
    </row>
    <row r="268" spans="1:14" x14ac:dyDescent="0.25">
      <c r="A268">
        <v>27</v>
      </c>
      <c r="B268" t="s">
        <v>15</v>
      </c>
      <c r="C268" t="s">
        <v>1</v>
      </c>
      <c r="D268" t="s">
        <v>2</v>
      </c>
      <c r="E268" t="s">
        <v>3</v>
      </c>
      <c r="F268" t="s">
        <v>4</v>
      </c>
      <c r="G268" s="10">
        <v>45786</v>
      </c>
      <c r="H268" t="s">
        <v>5</v>
      </c>
      <c r="I268">
        <v>4.3949999999999996</v>
      </c>
      <c r="J268">
        <v>2210.4499999999998</v>
      </c>
      <c r="K268">
        <v>1964.49</v>
      </c>
      <c r="L268">
        <v>0.84399999999999997</v>
      </c>
      <c r="M268">
        <v>0.376</v>
      </c>
      <c r="N268">
        <v>0.188</v>
      </c>
    </row>
    <row r="269" spans="1:14" x14ac:dyDescent="0.25">
      <c r="A269">
        <v>26</v>
      </c>
      <c r="B269" t="s">
        <v>0</v>
      </c>
      <c r="C269" t="s">
        <v>1</v>
      </c>
      <c r="D269" t="s">
        <v>9</v>
      </c>
      <c r="E269" t="s">
        <v>12</v>
      </c>
      <c r="F269" t="s">
        <v>4</v>
      </c>
      <c r="G269" s="10">
        <v>45783</v>
      </c>
      <c r="H269" t="s">
        <v>5</v>
      </c>
      <c r="I269">
        <v>0.14499999999999999</v>
      </c>
      <c r="J269">
        <v>94896.12</v>
      </c>
      <c r="K269">
        <v>83793.279999999999</v>
      </c>
      <c r="L269">
        <v>0.86099999999999999</v>
      </c>
      <c r="M269">
        <v>0.36199999999999999</v>
      </c>
      <c r="N269">
        <v>0.191</v>
      </c>
    </row>
    <row r="270" spans="1:14" x14ac:dyDescent="0.25">
      <c r="A270">
        <v>25</v>
      </c>
      <c r="B270" t="s">
        <v>18</v>
      </c>
      <c r="C270" t="s">
        <v>1</v>
      </c>
      <c r="D270" t="s">
        <v>2</v>
      </c>
      <c r="E270" t="s">
        <v>12</v>
      </c>
      <c r="F270" t="s">
        <v>4</v>
      </c>
      <c r="G270" s="10">
        <v>45780</v>
      </c>
      <c r="H270" t="s">
        <v>5</v>
      </c>
      <c r="I270">
        <v>2.0129999999999999</v>
      </c>
      <c r="J270">
        <v>1848.21</v>
      </c>
      <c r="K270">
        <v>1629.38</v>
      </c>
      <c r="L270">
        <v>0.23899999999999999</v>
      </c>
      <c r="M270">
        <v>0.16400000000000001</v>
      </c>
      <c r="N270">
        <v>0.25800000000000001</v>
      </c>
    </row>
    <row r="271" spans="1:14" x14ac:dyDescent="0.25">
      <c r="A271">
        <v>24</v>
      </c>
      <c r="B271" t="s">
        <v>15</v>
      </c>
      <c r="C271" t="s">
        <v>1</v>
      </c>
      <c r="D271" t="s">
        <v>9</v>
      </c>
      <c r="E271" t="s">
        <v>3</v>
      </c>
      <c r="F271" t="s">
        <v>4</v>
      </c>
      <c r="G271" s="10">
        <v>45779</v>
      </c>
      <c r="H271" t="s">
        <v>36</v>
      </c>
      <c r="I271">
        <v>0.23400000000000001</v>
      </c>
      <c r="J271">
        <v>95604.46</v>
      </c>
      <c r="K271">
        <v>84284.89</v>
      </c>
      <c r="L271">
        <v>0.84199999999999997</v>
      </c>
      <c r="M271">
        <v>0.36899999999999999</v>
      </c>
      <c r="N271">
        <v>0.23300000000000001</v>
      </c>
    </row>
    <row r="272" spans="1:14" x14ac:dyDescent="0.25">
      <c r="A272">
        <v>23</v>
      </c>
      <c r="B272" t="s">
        <v>7</v>
      </c>
      <c r="C272" t="s">
        <v>1</v>
      </c>
      <c r="D272" t="s">
        <v>2</v>
      </c>
      <c r="E272" t="s">
        <v>12</v>
      </c>
      <c r="F272" t="s">
        <v>4</v>
      </c>
      <c r="G272" s="10">
        <v>45778</v>
      </c>
      <c r="H272" t="s">
        <v>5</v>
      </c>
      <c r="I272">
        <v>0.79400000000000004</v>
      </c>
      <c r="J272">
        <v>1811.73</v>
      </c>
      <c r="K272">
        <v>1593.02</v>
      </c>
      <c r="L272">
        <v>0.59099999999999997</v>
      </c>
      <c r="M272">
        <v>0.31900000000000001</v>
      </c>
      <c r="N272">
        <v>0.21099999999999999</v>
      </c>
    </row>
    <row r="273" spans="1:14" x14ac:dyDescent="0.25">
      <c r="A273">
        <v>22</v>
      </c>
      <c r="B273" t="s">
        <v>11</v>
      </c>
      <c r="C273" t="s">
        <v>22</v>
      </c>
      <c r="D273" t="s">
        <v>2</v>
      </c>
      <c r="E273" t="s">
        <v>3</v>
      </c>
      <c r="F273" t="s">
        <v>4</v>
      </c>
      <c r="G273" s="10">
        <v>45777</v>
      </c>
      <c r="H273" t="s">
        <v>5</v>
      </c>
      <c r="I273">
        <v>3.5459999999999998</v>
      </c>
      <c r="J273">
        <v>1809.36</v>
      </c>
      <c r="K273">
        <v>1590.94</v>
      </c>
      <c r="L273">
        <v>0.371</v>
      </c>
      <c r="M273">
        <v>0.125</v>
      </c>
      <c r="N273">
        <v>6.0999999999999999E-2</v>
      </c>
    </row>
    <row r="274" spans="1:14" x14ac:dyDescent="0.25">
      <c r="A274">
        <v>21</v>
      </c>
      <c r="B274" t="s">
        <v>7</v>
      </c>
      <c r="C274" t="s">
        <v>22</v>
      </c>
      <c r="D274" t="s">
        <v>9</v>
      </c>
      <c r="E274" t="s">
        <v>12</v>
      </c>
      <c r="F274" t="s">
        <v>4</v>
      </c>
      <c r="G274" s="10">
        <v>45777</v>
      </c>
      <c r="H274" t="s">
        <v>36</v>
      </c>
      <c r="I274">
        <v>0.114</v>
      </c>
      <c r="J274">
        <v>93554.62</v>
      </c>
      <c r="K274">
        <v>82260.710000000006</v>
      </c>
      <c r="L274">
        <v>0.53500000000000003</v>
      </c>
      <c r="M274">
        <v>0.23899999999999999</v>
      </c>
      <c r="N274">
        <v>3.1E-2</v>
      </c>
    </row>
    <row r="275" spans="1:14" x14ac:dyDescent="0.25">
      <c r="A275">
        <v>20</v>
      </c>
      <c r="B275" t="s">
        <v>15</v>
      </c>
      <c r="C275" t="s">
        <v>1</v>
      </c>
      <c r="D275" t="s">
        <v>2</v>
      </c>
      <c r="E275" t="s">
        <v>12</v>
      </c>
      <c r="F275" t="s">
        <v>4</v>
      </c>
      <c r="G275" s="10">
        <v>45775</v>
      </c>
      <c r="H275" t="s">
        <v>5</v>
      </c>
      <c r="I275">
        <v>2.8740000000000001</v>
      </c>
      <c r="J275">
        <v>1803.48</v>
      </c>
      <c r="K275">
        <v>1587.86</v>
      </c>
      <c r="L275">
        <v>0.378</v>
      </c>
      <c r="M275">
        <v>0.42099999999999999</v>
      </c>
      <c r="N275">
        <v>0.27200000000000002</v>
      </c>
    </row>
    <row r="276" spans="1:14" x14ac:dyDescent="0.25">
      <c r="A276">
        <v>19</v>
      </c>
      <c r="B276" t="s">
        <v>7</v>
      </c>
      <c r="C276" t="s">
        <v>1</v>
      </c>
      <c r="D276" t="s">
        <v>9</v>
      </c>
      <c r="E276" t="s">
        <v>3</v>
      </c>
      <c r="F276" t="s">
        <v>4</v>
      </c>
      <c r="G276" s="10">
        <v>45775</v>
      </c>
      <c r="H276" t="s">
        <v>36</v>
      </c>
      <c r="I276">
        <v>0.13800000000000001</v>
      </c>
      <c r="J276">
        <v>93352.68</v>
      </c>
      <c r="K276">
        <v>82191.429999999993</v>
      </c>
      <c r="L276">
        <v>0.217</v>
      </c>
      <c r="M276">
        <v>0.17100000000000001</v>
      </c>
      <c r="N276">
        <v>0.26100000000000001</v>
      </c>
    </row>
    <row r="277" spans="1:14" x14ac:dyDescent="0.25">
      <c r="A277">
        <v>18</v>
      </c>
      <c r="B277" t="s">
        <v>15</v>
      </c>
      <c r="C277" t="s">
        <v>1</v>
      </c>
      <c r="D277" t="s">
        <v>9</v>
      </c>
      <c r="E277" t="s">
        <v>3</v>
      </c>
      <c r="F277" t="s">
        <v>4</v>
      </c>
      <c r="G277" s="10">
        <v>45774</v>
      </c>
      <c r="H277" t="s">
        <v>5</v>
      </c>
      <c r="I277">
        <v>0.307</v>
      </c>
      <c r="J277">
        <v>95500.47</v>
      </c>
      <c r="K277">
        <v>84089.11</v>
      </c>
      <c r="L277">
        <v>0.47099999999999997</v>
      </c>
      <c r="M277">
        <v>0.33300000000000002</v>
      </c>
      <c r="N277">
        <v>8.9999999999999993E-3</v>
      </c>
    </row>
    <row r="278" spans="1:14" x14ac:dyDescent="0.25">
      <c r="A278">
        <v>17</v>
      </c>
      <c r="B278" t="s">
        <v>7</v>
      </c>
      <c r="C278" t="s">
        <v>1</v>
      </c>
      <c r="D278" t="s">
        <v>9</v>
      </c>
      <c r="E278" t="s">
        <v>12</v>
      </c>
      <c r="F278" t="s">
        <v>4</v>
      </c>
      <c r="G278" s="10">
        <v>45773</v>
      </c>
      <c r="H278" t="s">
        <v>5</v>
      </c>
      <c r="I278">
        <v>0.218</v>
      </c>
      <c r="J278">
        <v>95059.5</v>
      </c>
      <c r="K278">
        <v>83700.84</v>
      </c>
      <c r="L278">
        <v>0.30399999999999999</v>
      </c>
      <c r="M278">
        <v>0.123</v>
      </c>
      <c r="N278">
        <v>0.25900000000000001</v>
      </c>
    </row>
    <row r="279" spans="1:14" x14ac:dyDescent="0.25">
      <c r="A279">
        <v>16</v>
      </c>
      <c r="B279" t="s">
        <v>26</v>
      </c>
      <c r="C279" t="s">
        <v>22</v>
      </c>
      <c r="D279" t="s">
        <v>2</v>
      </c>
      <c r="E279" t="s">
        <v>3</v>
      </c>
      <c r="F279" t="s">
        <v>4</v>
      </c>
      <c r="G279" s="10">
        <v>45771</v>
      </c>
      <c r="H279" t="s">
        <v>5</v>
      </c>
      <c r="I279">
        <v>2.5089999999999999</v>
      </c>
      <c r="J279">
        <v>1799.84</v>
      </c>
      <c r="K279">
        <v>1582.13</v>
      </c>
      <c r="L279">
        <v>0.93300000000000005</v>
      </c>
      <c r="M279">
        <v>0.26300000000000001</v>
      </c>
      <c r="N279">
        <v>7.4999999999999997E-2</v>
      </c>
    </row>
    <row r="280" spans="1:14" x14ac:dyDescent="0.25">
      <c r="A280">
        <v>15</v>
      </c>
      <c r="B280" t="s">
        <v>7</v>
      </c>
      <c r="C280" t="s">
        <v>22</v>
      </c>
      <c r="D280" t="s">
        <v>9</v>
      </c>
      <c r="E280" t="s">
        <v>12</v>
      </c>
      <c r="F280" t="s">
        <v>4</v>
      </c>
      <c r="G280" s="10">
        <v>45771</v>
      </c>
      <c r="H280" t="s">
        <v>5</v>
      </c>
      <c r="I280">
        <v>0.39100000000000001</v>
      </c>
      <c r="J280">
        <v>93845.02</v>
      </c>
      <c r="K280">
        <v>82493.53</v>
      </c>
      <c r="L280">
        <v>0.97299999999999998</v>
      </c>
      <c r="M280">
        <v>0.44900000000000001</v>
      </c>
      <c r="N280">
        <v>2E-3</v>
      </c>
    </row>
    <row r="281" spans="1:14" x14ac:dyDescent="0.25">
      <c r="A281">
        <v>14</v>
      </c>
      <c r="B281" t="s">
        <v>7</v>
      </c>
      <c r="C281" t="s">
        <v>8</v>
      </c>
      <c r="D281" t="s">
        <v>2</v>
      </c>
      <c r="E281" t="s">
        <v>12</v>
      </c>
      <c r="F281" t="s">
        <v>4</v>
      </c>
      <c r="G281" s="10">
        <v>45770</v>
      </c>
      <c r="H281" t="s">
        <v>5</v>
      </c>
      <c r="I281">
        <v>0.42599999999999999</v>
      </c>
      <c r="J281">
        <v>1774.23</v>
      </c>
      <c r="K281">
        <v>1554.29</v>
      </c>
      <c r="L281">
        <v>0.27700000000000002</v>
      </c>
      <c r="M281">
        <v>0.495</v>
      </c>
      <c r="N281">
        <v>1E-3</v>
      </c>
    </row>
    <row r="282" spans="1:14" x14ac:dyDescent="0.25">
      <c r="A282">
        <v>13</v>
      </c>
      <c r="B282" t="s">
        <v>0</v>
      </c>
      <c r="C282" t="s">
        <v>1</v>
      </c>
      <c r="D282" t="s">
        <v>2</v>
      </c>
      <c r="E282" t="s">
        <v>3</v>
      </c>
      <c r="F282" t="s">
        <v>4</v>
      </c>
      <c r="G282" s="10">
        <v>45767</v>
      </c>
      <c r="H282" t="s">
        <v>5</v>
      </c>
      <c r="I282">
        <v>4.4489999999999998</v>
      </c>
      <c r="J282">
        <v>1618.5</v>
      </c>
      <c r="K282">
        <v>1424.73</v>
      </c>
      <c r="L282">
        <v>0.753</v>
      </c>
      <c r="M282">
        <v>2.1000000000000001E-2</v>
      </c>
      <c r="N282">
        <v>1E-3</v>
      </c>
    </row>
    <row r="283" spans="1:14" x14ac:dyDescent="0.25">
      <c r="A283">
        <v>12</v>
      </c>
      <c r="B283" t="s">
        <v>18</v>
      </c>
      <c r="C283" t="s">
        <v>8</v>
      </c>
      <c r="D283" t="s">
        <v>9</v>
      </c>
      <c r="E283" t="s">
        <v>3</v>
      </c>
      <c r="F283" t="s">
        <v>4</v>
      </c>
      <c r="G283" s="10">
        <v>45767</v>
      </c>
      <c r="H283" t="s">
        <v>5</v>
      </c>
      <c r="I283">
        <v>0.27700000000000002</v>
      </c>
      <c r="J283">
        <v>85217.9</v>
      </c>
      <c r="K283">
        <v>75015.61</v>
      </c>
      <c r="L283">
        <v>0.35699999999999998</v>
      </c>
      <c r="M283">
        <v>0.30399999999999999</v>
      </c>
      <c r="N283">
        <v>0.26900000000000002</v>
      </c>
    </row>
    <row r="284" spans="1:14" x14ac:dyDescent="0.25">
      <c r="A284">
        <v>11</v>
      </c>
      <c r="B284" t="s">
        <v>15</v>
      </c>
      <c r="C284" t="s">
        <v>22</v>
      </c>
      <c r="D284" t="s">
        <v>2</v>
      </c>
      <c r="E284" t="s">
        <v>3</v>
      </c>
      <c r="F284" t="s">
        <v>4</v>
      </c>
      <c r="G284" s="10">
        <v>45763</v>
      </c>
      <c r="H284" t="s">
        <v>5</v>
      </c>
      <c r="I284">
        <v>3.548</v>
      </c>
      <c r="J284">
        <v>1589.84</v>
      </c>
      <c r="K284">
        <v>1400.12</v>
      </c>
      <c r="L284">
        <v>0.39100000000000001</v>
      </c>
      <c r="M284">
        <v>0.34200000000000003</v>
      </c>
      <c r="N284">
        <v>5.7000000000000002E-2</v>
      </c>
    </row>
    <row r="285" spans="1:14" x14ac:dyDescent="0.25">
      <c r="A285">
        <v>10</v>
      </c>
      <c r="B285" t="s">
        <v>11</v>
      </c>
      <c r="C285" t="s">
        <v>8</v>
      </c>
      <c r="D285" t="s">
        <v>2</v>
      </c>
      <c r="E285" t="s">
        <v>12</v>
      </c>
      <c r="F285" t="s">
        <v>4</v>
      </c>
      <c r="G285" s="10">
        <v>45761</v>
      </c>
      <c r="H285" t="s">
        <v>5</v>
      </c>
      <c r="I285">
        <v>0.20200000000000001</v>
      </c>
      <c r="J285">
        <v>1610.28</v>
      </c>
      <c r="K285">
        <v>1415.39</v>
      </c>
      <c r="L285">
        <v>0.48899999999999999</v>
      </c>
      <c r="M285">
        <v>0.22800000000000001</v>
      </c>
      <c r="N285">
        <v>0.17100000000000001</v>
      </c>
    </row>
    <row r="286" spans="1:14" x14ac:dyDescent="0.25">
      <c r="A286">
        <v>9</v>
      </c>
      <c r="B286" t="s">
        <v>15</v>
      </c>
      <c r="C286" t="s">
        <v>1</v>
      </c>
      <c r="D286" t="s">
        <v>9</v>
      </c>
      <c r="E286" t="s">
        <v>3</v>
      </c>
      <c r="F286" t="s">
        <v>4</v>
      </c>
      <c r="G286" s="10">
        <v>45760</v>
      </c>
      <c r="H286" t="s">
        <v>5</v>
      </c>
      <c r="I286">
        <v>4.4999999999999998E-2</v>
      </c>
      <c r="J286">
        <v>85398.65</v>
      </c>
      <c r="K286">
        <v>75267.8</v>
      </c>
      <c r="L286">
        <v>0.79400000000000004</v>
      </c>
      <c r="M286">
        <v>0.46600000000000003</v>
      </c>
      <c r="N286">
        <v>0.184</v>
      </c>
    </row>
    <row r="287" spans="1:14" x14ac:dyDescent="0.25">
      <c r="A287">
        <v>8</v>
      </c>
      <c r="B287" t="s">
        <v>7</v>
      </c>
      <c r="C287" t="s">
        <v>22</v>
      </c>
      <c r="D287" t="s">
        <v>2</v>
      </c>
      <c r="E287" t="s">
        <v>3</v>
      </c>
      <c r="F287" t="s">
        <v>4</v>
      </c>
      <c r="G287" s="10">
        <v>45758</v>
      </c>
      <c r="H287" t="s">
        <v>5</v>
      </c>
      <c r="I287">
        <v>0.14699999999999999</v>
      </c>
      <c r="J287">
        <v>1534.24</v>
      </c>
      <c r="K287">
        <v>1352.23</v>
      </c>
      <c r="L287">
        <v>0.91300000000000003</v>
      </c>
      <c r="M287">
        <v>0.313</v>
      </c>
      <c r="N287">
        <v>2.5999999999999999E-2</v>
      </c>
    </row>
    <row r="288" spans="1:14" x14ac:dyDescent="0.25">
      <c r="A288">
        <v>7</v>
      </c>
      <c r="B288" t="s">
        <v>15</v>
      </c>
      <c r="C288" t="s">
        <v>22</v>
      </c>
      <c r="D288" t="s">
        <v>9</v>
      </c>
      <c r="E288" t="s">
        <v>3</v>
      </c>
      <c r="F288" t="s">
        <v>4</v>
      </c>
      <c r="G288" s="10">
        <v>45753</v>
      </c>
      <c r="H288" t="s">
        <v>5</v>
      </c>
      <c r="I288">
        <v>3.0000000000000001E-3</v>
      </c>
      <c r="J288">
        <v>48000</v>
      </c>
      <c r="K288">
        <v>44160</v>
      </c>
      <c r="L288">
        <v>8.9999999999999993E-3</v>
      </c>
      <c r="M288">
        <v>4.0000000000000001E-3</v>
      </c>
      <c r="N288">
        <v>0</v>
      </c>
    </row>
    <row r="289" spans="1:14" x14ac:dyDescent="0.25">
      <c r="A289">
        <v>6</v>
      </c>
      <c r="B289" t="s">
        <v>26</v>
      </c>
      <c r="C289" t="s">
        <v>8</v>
      </c>
      <c r="D289" t="s">
        <v>9</v>
      </c>
      <c r="E289" t="s">
        <v>12</v>
      </c>
      <c r="F289" t="s">
        <v>4</v>
      </c>
      <c r="G289" s="10">
        <v>45752</v>
      </c>
      <c r="H289" t="s">
        <v>36</v>
      </c>
      <c r="I289">
        <v>2E-3</v>
      </c>
      <c r="J289">
        <v>50000</v>
      </c>
      <c r="K289">
        <v>46000</v>
      </c>
      <c r="L289">
        <v>5.0000000000000001E-3</v>
      </c>
      <c r="M289">
        <v>2E-3</v>
      </c>
      <c r="N289">
        <v>0</v>
      </c>
    </row>
    <row r="290" spans="1:14" x14ac:dyDescent="0.25">
      <c r="A290">
        <v>5</v>
      </c>
      <c r="B290" t="s">
        <v>18</v>
      </c>
      <c r="C290" t="s">
        <v>1</v>
      </c>
      <c r="D290" t="s">
        <v>2</v>
      </c>
      <c r="E290" t="s">
        <v>12</v>
      </c>
      <c r="F290" t="s">
        <v>4</v>
      </c>
      <c r="G290" s="10">
        <v>45748</v>
      </c>
      <c r="H290" t="s">
        <v>5</v>
      </c>
      <c r="I290">
        <v>8.0000000000000002E-3</v>
      </c>
      <c r="J290">
        <v>2600</v>
      </c>
      <c r="K290">
        <v>2392</v>
      </c>
      <c r="L290">
        <v>6.0000000000000001E-3</v>
      </c>
      <c r="M290">
        <v>3.0000000000000001E-3</v>
      </c>
      <c r="N290">
        <v>2E-3</v>
      </c>
    </row>
    <row r="291" spans="1:14" x14ac:dyDescent="0.25">
      <c r="A291">
        <v>4</v>
      </c>
      <c r="B291" t="s">
        <v>7</v>
      </c>
      <c r="C291" t="s">
        <v>8</v>
      </c>
      <c r="D291" t="s">
        <v>2</v>
      </c>
      <c r="E291" t="s">
        <v>12</v>
      </c>
      <c r="F291" t="s">
        <v>4</v>
      </c>
      <c r="G291" s="10">
        <v>45726</v>
      </c>
      <c r="H291" t="s">
        <v>5</v>
      </c>
      <c r="I291">
        <v>1.2E-2</v>
      </c>
      <c r="J291">
        <v>2500</v>
      </c>
      <c r="K291">
        <v>2350</v>
      </c>
      <c r="L291">
        <v>5.0000000000000001E-3</v>
      </c>
      <c r="M291">
        <v>2E-3</v>
      </c>
      <c r="N291">
        <v>0</v>
      </c>
    </row>
    <row r="292" spans="1:14" x14ac:dyDescent="0.25">
      <c r="A292">
        <v>3</v>
      </c>
      <c r="B292" t="s">
        <v>0</v>
      </c>
      <c r="C292" t="s">
        <v>22</v>
      </c>
      <c r="D292" t="s">
        <v>9</v>
      </c>
      <c r="E292" t="s">
        <v>12</v>
      </c>
      <c r="F292" t="s">
        <v>4</v>
      </c>
      <c r="G292" s="10">
        <v>45717</v>
      </c>
      <c r="H292" t="s">
        <v>5</v>
      </c>
      <c r="I292">
        <v>1E-3</v>
      </c>
      <c r="J292">
        <v>47000</v>
      </c>
      <c r="K292">
        <v>42770</v>
      </c>
      <c r="L292">
        <v>7.0000000000000001E-3</v>
      </c>
      <c r="M292">
        <v>3.0000000000000001E-3</v>
      </c>
      <c r="N292">
        <v>1E-3</v>
      </c>
    </row>
    <row r="293" spans="1:14" x14ac:dyDescent="0.25">
      <c r="A293">
        <v>2</v>
      </c>
      <c r="B293" t="s">
        <v>11</v>
      </c>
      <c r="C293" t="s">
        <v>1</v>
      </c>
      <c r="D293" t="s">
        <v>9</v>
      </c>
      <c r="E293" t="s">
        <v>12</v>
      </c>
      <c r="F293" t="s">
        <v>4</v>
      </c>
      <c r="G293" s="10">
        <v>45703</v>
      </c>
      <c r="H293" t="s">
        <v>5</v>
      </c>
      <c r="I293">
        <v>2E-3</v>
      </c>
      <c r="J293">
        <v>45000</v>
      </c>
      <c r="K293">
        <v>41850</v>
      </c>
      <c r="L293">
        <v>8.0000000000000002E-3</v>
      </c>
      <c r="M293">
        <v>4.0000000000000001E-3</v>
      </c>
      <c r="N293">
        <v>0</v>
      </c>
    </row>
    <row r="294" spans="1:14" x14ac:dyDescent="0.25">
      <c r="A294">
        <v>1</v>
      </c>
      <c r="B294" t="s">
        <v>26</v>
      </c>
      <c r="C294" t="s">
        <v>8</v>
      </c>
      <c r="D294" t="s">
        <v>9</v>
      </c>
      <c r="E294" t="s">
        <v>12</v>
      </c>
      <c r="F294" t="s">
        <v>4</v>
      </c>
      <c r="G294" s="10">
        <v>45667</v>
      </c>
      <c r="H294" t="s">
        <v>5</v>
      </c>
      <c r="I294">
        <v>5.0000000000000001E-3</v>
      </c>
      <c r="J294">
        <v>42000</v>
      </c>
      <c r="K294">
        <v>38640</v>
      </c>
      <c r="L294">
        <v>0.01</v>
      </c>
      <c r="M294">
        <v>5.0000000000000001E-3</v>
      </c>
      <c r="N294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21F5-B719-4D4E-A79A-743FD1EEBFD6}">
  <dimension ref="A1:R22"/>
  <sheetViews>
    <sheetView tabSelected="1" zoomScale="90" zoomScaleNormal="90" workbookViewId="0">
      <selection activeCell="R2" sqref="R2:R11"/>
    </sheetView>
  </sheetViews>
  <sheetFormatPr baseColWidth="10" defaultRowHeight="15" x14ac:dyDescent="0.25"/>
  <cols>
    <col min="1" max="1" width="11.7109375" customWidth="1"/>
    <col min="2" max="2" width="11.42578125" style="8"/>
    <col min="3" max="4" width="10.28515625" style="8" customWidth="1"/>
    <col min="5" max="5" width="13.42578125" style="8" customWidth="1"/>
    <col min="6" max="7" width="10.28515625" style="8" customWidth="1"/>
    <col min="8" max="8" width="13" style="8" customWidth="1"/>
    <col min="9" max="10" width="10.28515625" style="8" customWidth="1"/>
    <col min="11" max="11" width="12.5703125" style="8" bestFit="1" customWidth="1"/>
    <col min="12" max="12" width="11.7109375" style="8" customWidth="1"/>
    <col min="13" max="14" width="10.28515625" style="8" customWidth="1"/>
    <col min="15" max="15" width="14.7109375" style="8" customWidth="1"/>
    <col min="16" max="16" width="14.28515625" style="8" customWidth="1"/>
    <col min="17" max="17" width="13.140625" bestFit="1" customWidth="1"/>
  </cols>
  <sheetData>
    <row r="1" spans="1:18" x14ac:dyDescent="0.25">
      <c r="C1" s="16"/>
      <c r="D1" s="16"/>
      <c r="E1" s="16"/>
      <c r="F1" s="11" t="s">
        <v>578</v>
      </c>
      <c r="G1" s="11"/>
      <c r="H1" s="11"/>
      <c r="I1" s="14" t="s">
        <v>586</v>
      </c>
      <c r="J1" s="14"/>
      <c r="K1" s="14"/>
      <c r="L1" s="14"/>
      <c r="M1" s="16"/>
      <c r="N1" s="16"/>
      <c r="O1" s="16"/>
    </row>
    <row r="2" spans="1:18" s="7" customFormat="1" ht="45" x14ac:dyDescent="0.25">
      <c r="A2" s="7" t="s">
        <v>26</v>
      </c>
      <c r="B2" s="12" t="s">
        <v>580</v>
      </c>
      <c r="C2" s="17" t="s">
        <v>584</v>
      </c>
      <c r="D2" s="17" t="s">
        <v>588</v>
      </c>
      <c r="E2" s="17" t="s">
        <v>583</v>
      </c>
      <c r="F2" s="13" t="s">
        <v>579</v>
      </c>
      <c r="G2" s="13" t="s">
        <v>585</v>
      </c>
      <c r="H2" s="13"/>
      <c r="I2" s="15" t="s">
        <v>579</v>
      </c>
      <c r="J2" s="15" t="s">
        <v>587</v>
      </c>
      <c r="K2" s="15"/>
      <c r="L2" s="18" t="s">
        <v>592</v>
      </c>
      <c r="M2" s="17" t="s">
        <v>591</v>
      </c>
      <c r="N2" s="17" t="s">
        <v>590</v>
      </c>
      <c r="O2" s="17" t="s">
        <v>589</v>
      </c>
      <c r="P2" s="7" t="s">
        <v>594</v>
      </c>
      <c r="Q2" s="7" t="s">
        <v>595</v>
      </c>
      <c r="R2" s="20" t="s">
        <v>593</v>
      </c>
    </row>
    <row r="3" spans="1:18" x14ac:dyDescent="0.25">
      <c r="A3" s="1">
        <v>45658</v>
      </c>
      <c r="B3" s="8" t="s">
        <v>581</v>
      </c>
      <c r="C3" s="8">
        <v>0</v>
      </c>
      <c r="D3" s="8">
        <v>0</v>
      </c>
      <c r="E3" s="8">
        <v>0</v>
      </c>
      <c r="F3" s="8">
        <v>10</v>
      </c>
      <c r="G3" s="8">
        <v>68000</v>
      </c>
      <c r="H3" s="8">
        <f>-F3*G3</f>
        <v>-680000</v>
      </c>
      <c r="K3" s="8">
        <f>I3*J3</f>
        <v>0</v>
      </c>
      <c r="L3" s="8">
        <f>(C3*E3+F3*G3)/(C3+F3)</f>
        <v>68000</v>
      </c>
      <c r="M3" s="8">
        <f>C3+F3-I3</f>
        <v>10</v>
      </c>
      <c r="N3" s="8">
        <f>L3</f>
        <v>68000</v>
      </c>
      <c r="O3" s="8">
        <f>M3*N3</f>
        <v>680000</v>
      </c>
      <c r="P3" s="8">
        <f>J:J*I:I-F:F*G:G</f>
        <v>-680000</v>
      </c>
      <c r="Q3" s="8">
        <f>P3</f>
        <v>-680000</v>
      </c>
      <c r="R3" s="21">
        <f>O3+Q3</f>
        <v>0</v>
      </c>
    </row>
    <row r="4" spans="1:18" x14ac:dyDescent="0.25">
      <c r="A4" s="1">
        <v>45659</v>
      </c>
      <c r="B4" s="8" t="s">
        <v>581</v>
      </c>
      <c r="C4" s="8">
        <f>M3</f>
        <v>10</v>
      </c>
      <c r="D4" s="8">
        <f>N3</f>
        <v>68000</v>
      </c>
      <c r="E4" s="8">
        <f>O3</f>
        <v>680000</v>
      </c>
      <c r="F4" s="8">
        <v>5</v>
      </c>
      <c r="G4" s="8">
        <v>70000</v>
      </c>
      <c r="H4" s="8">
        <f t="shared" ref="H4:H11" si="0">-F4*G4</f>
        <v>-350000</v>
      </c>
      <c r="K4" s="8">
        <f t="shared" ref="K4:K11" si="1">I4*J4</f>
        <v>0</v>
      </c>
      <c r="L4" s="8">
        <f>(C4*D4+F4*G4)/(C4+F4)</f>
        <v>68666.666666666672</v>
      </c>
      <c r="M4" s="8">
        <f>C4+F4-I4</f>
        <v>15</v>
      </c>
      <c r="N4" s="8">
        <f>L4</f>
        <v>68666.666666666672</v>
      </c>
      <c r="O4" s="8">
        <f>M4*L4</f>
        <v>1030000.0000000001</v>
      </c>
      <c r="P4" s="8">
        <f>J:J*I:I-F:F*G:G</f>
        <v>-350000</v>
      </c>
      <c r="Q4" s="8">
        <f>P4+Q3</f>
        <v>-1030000</v>
      </c>
      <c r="R4" s="21">
        <f>O4+Q4</f>
        <v>0</v>
      </c>
    </row>
    <row r="5" spans="1:18" x14ac:dyDescent="0.25">
      <c r="A5" s="1">
        <v>45660</v>
      </c>
      <c r="B5" s="19" t="s">
        <v>582</v>
      </c>
      <c r="C5" s="19">
        <f>M4</f>
        <v>15</v>
      </c>
      <c r="D5" s="19">
        <f>N4</f>
        <v>68666.666666666672</v>
      </c>
      <c r="E5" s="19">
        <f>O4</f>
        <v>1030000.0000000001</v>
      </c>
      <c r="F5" s="19"/>
      <c r="G5" s="19"/>
      <c r="H5" s="19">
        <f t="shared" si="0"/>
        <v>0</v>
      </c>
      <c r="I5" s="19">
        <v>4</v>
      </c>
      <c r="J5" s="19">
        <v>75000</v>
      </c>
      <c r="K5" s="19">
        <f t="shared" si="1"/>
        <v>300000</v>
      </c>
      <c r="L5" s="8">
        <f>(C5*D5+F5*G5)/(C5+F5)</f>
        <v>68666.666666666672</v>
      </c>
      <c r="M5" s="8">
        <f>C5+F5-I5</f>
        <v>11</v>
      </c>
      <c r="N5" s="8">
        <f>L5</f>
        <v>68666.666666666672</v>
      </c>
      <c r="O5" s="8">
        <f>M5*L5</f>
        <v>755333.33333333337</v>
      </c>
      <c r="P5" s="8">
        <f>J:J*I:I-F:F*G:G</f>
        <v>300000</v>
      </c>
      <c r="Q5" s="8">
        <f t="shared" ref="Q5:Q10" si="2">P5+Q4</f>
        <v>-730000</v>
      </c>
      <c r="R5" s="21">
        <f>O5+Q5</f>
        <v>25333.333333333372</v>
      </c>
    </row>
    <row r="6" spans="1:18" x14ac:dyDescent="0.25">
      <c r="A6" s="1">
        <v>45661</v>
      </c>
      <c r="B6" s="19" t="s">
        <v>582</v>
      </c>
      <c r="C6" s="19">
        <f>M5</f>
        <v>11</v>
      </c>
      <c r="D6" s="19">
        <f>N5</f>
        <v>68666.666666666672</v>
      </c>
      <c r="E6" s="19">
        <f>O5</f>
        <v>755333.33333333337</v>
      </c>
      <c r="F6" s="19"/>
      <c r="G6" s="19"/>
      <c r="H6" s="19">
        <f t="shared" si="0"/>
        <v>0</v>
      </c>
      <c r="I6" s="19">
        <v>4</v>
      </c>
      <c r="J6" s="19">
        <v>75000</v>
      </c>
      <c r="K6" s="19">
        <f t="shared" si="1"/>
        <v>300000</v>
      </c>
      <c r="L6" s="8">
        <f>(C6*D6+F6*G6)/(C6+F6)</f>
        <v>68666.666666666672</v>
      </c>
      <c r="M6" s="8">
        <f>C6+F6-I6</f>
        <v>7</v>
      </c>
      <c r="N6" s="8">
        <f>L6</f>
        <v>68666.666666666672</v>
      </c>
      <c r="O6" s="8">
        <f>M6*L6</f>
        <v>480666.66666666669</v>
      </c>
      <c r="P6" s="8">
        <f>J:J*I:I-F:F*G:G</f>
        <v>300000</v>
      </c>
      <c r="Q6" s="8">
        <f t="shared" si="2"/>
        <v>-430000</v>
      </c>
      <c r="R6" s="21">
        <f>O6+Q6</f>
        <v>50666.666666666686</v>
      </c>
    </row>
    <row r="7" spans="1:18" x14ac:dyDescent="0.25">
      <c r="A7" s="1">
        <v>45661</v>
      </c>
      <c r="B7" s="19" t="s">
        <v>582</v>
      </c>
      <c r="C7" s="19">
        <f>M6</f>
        <v>7</v>
      </c>
      <c r="D7" s="19">
        <f>N6</f>
        <v>68666.666666666672</v>
      </c>
      <c r="E7" s="19">
        <f>O6</f>
        <v>480666.66666666669</v>
      </c>
      <c r="F7" s="19"/>
      <c r="G7" s="19"/>
      <c r="H7" s="19">
        <f t="shared" si="0"/>
        <v>0</v>
      </c>
      <c r="I7" s="19">
        <v>7</v>
      </c>
      <c r="J7" s="19">
        <v>75000</v>
      </c>
      <c r="K7" s="19">
        <f t="shared" si="1"/>
        <v>525000</v>
      </c>
      <c r="L7" s="8">
        <f>(C7*D7+F7*G7)/(C7+F7)</f>
        <v>68666.666666666672</v>
      </c>
      <c r="M7" s="8">
        <f>C7+F7-I7</f>
        <v>0</v>
      </c>
      <c r="N7" s="8">
        <f>L7</f>
        <v>68666.666666666672</v>
      </c>
      <c r="O7" s="8">
        <f>M7*L7</f>
        <v>0</v>
      </c>
      <c r="P7" s="8">
        <f>J:J*I:I-F:F*G:G</f>
        <v>525000</v>
      </c>
      <c r="Q7" s="8">
        <f t="shared" si="2"/>
        <v>95000</v>
      </c>
      <c r="R7" s="21">
        <f>O7+Q7</f>
        <v>95000</v>
      </c>
    </row>
    <row r="8" spans="1:18" x14ac:dyDescent="0.25">
      <c r="A8" s="1">
        <v>45661</v>
      </c>
      <c r="B8" s="8" t="s">
        <v>581</v>
      </c>
      <c r="C8" s="8">
        <f>M7</f>
        <v>0</v>
      </c>
      <c r="D8" s="8">
        <f>N7</f>
        <v>68666.666666666672</v>
      </c>
      <c r="E8" s="8">
        <f>O7</f>
        <v>0</v>
      </c>
      <c r="F8" s="8">
        <v>20</v>
      </c>
      <c r="G8" s="8">
        <v>80000</v>
      </c>
      <c r="H8" s="8">
        <f t="shared" si="0"/>
        <v>-1600000</v>
      </c>
      <c r="K8" s="8">
        <f t="shared" si="1"/>
        <v>0</v>
      </c>
      <c r="L8" s="8">
        <f>(C8*D8+F8*G8)/(C8+F8)</f>
        <v>80000</v>
      </c>
      <c r="M8" s="8">
        <f>C8+F8-I8</f>
        <v>20</v>
      </c>
      <c r="N8" s="8">
        <f>L8</f>
        <v>80000</v>
      </c>
      <c r="O8" s="8">
        <f>M8*L8</f>
        <v>1600000</v>
      </c>
      <c r="P8" s="8">
        <f>J:J*I:I-F:F*G:G</f>
        <v>-1600000</v>
      </c>
      <c r="Q8" s="8">
        <f t="shared" si="2"/>
        <v>-1505000</v>
      </c>
      <c r="R8" s="21">
        <f>O8+Q8</f>
        <v>95000</v>
      </c>
    </row>
    <row r="9" spans="1:18" x14ac:dyDescent="0.25">
      <c r="A9" s="1">
        <v>45661</v>
      </c>
      <c r="B9" s="8" t="s">
        <v>581</v>
      </c>
      <c r="C9" s="8">
        <f>M8</f>
        <v>20</v>
      </c>
      <c r="D9" s="8">
        <f>N8</f>
        <v>80000</v>
      </c>
      <c r="E9" s="8">
        <f>O8</f>
        <v>1600000</v>
      </c>
      <c r="F9" s="8">
        <v>10</v>
      </c>
      <c r="G9" s="8">
        <v>85000</v>
      </c>
      <c r="H9" s="8">
        <f t="shared" si="0"/>
        <v>-850000</v>
      </c>
      <c r="K9" s="8">
        <f t="shared" si="1"/>
        <v>0</v>
      </c>
      <c r="L9" s="8">
        <f>(C9*D9+F9*G9)/(C9+F9)</f>
        <v>81666.666666666672</v>
      </c>
      <c r="M9" s="8">
        <f>C9+F9-I9</f>
        <v>30</v>
      </c>
      <c r="N9" s="8">
        <f>L9</f>
        <v>81666.666666666672</v>
      </c>
      <c r="O9" s="8">
        <f>M9*L9</f>
        <v>2450000</v>
      </c>
      <c r="P9" s="8">
        <f>J:J*I:I-F:F*G:G</f>
        <v>-850000</v>
      </c>
      <c r="Q9" s="8">
        <f t="shared" si="2"/>
        <v>-2355000</v>
      </c>
      <c r="R9" s="21">
        <f>O9+Q9</f>
        <v>95000</v>
      </c>
    </row>
    <row r="10" spans="1:18" x14ac:dyDescent="0.25">
      <c r="A10" s="1">
        <v>45661</v>
      </c>
      <c r="B10" s="19" t="s">
        <v>582</v>
      </c>
      <c r="C10" s="19">
        <f>M9</f>
        <v>30</v>
      </c>
      <c r="D10" s="19">
        <f>N9</f>
        <v>81666.666666666672</v>
      </c>
      <c r="E10" s="19">
        <f>O9</f>
        <v>2450000</v>
      </c>
      <c r="F10" s="19"/>
      <c r="G10" s="19"/>
      <c r="H10" s="19">
        <f t="shared" si="0"/>
        <v>0</v>
      </c>
      <c r="I10" s="19">
        <v>7</v>
      </c>
      <c r="J10" s="19">
        <v>75000</v>
      </c>
      <c r="K10" s="19">
        <f t="shared" si="1"/>
        <v>525000</v>
      </c>
      <c r="L10" s="8">
        <f>(C10*D10+F10*G10)/(C10+F10)</f>
        <v>81666.666666666672</v>
      </c>
      <c r="M10" s="8">
        <f>C10+F10-I10</f>
        <v>23</v>
      </c>
      <c r="N10" s="8">
        <f>L10</f>
        <v>81666.666666666672</v>
      </c>
      <c r="O10" s="8">
        <f>M10*L10</f>
        <v>1878333.3333333335</v>
      </c>
      <c r="P10" s="8">
        <f>J:J*I:I-F:F*G:G</f>
        <v>525000</v>
      </c>
      <c r="Q10" s="8">
        <f t="shared" si="2"/>
        <v>-1830000</v>
      </c>
      <c r="R10" s="21">
        <f>O10+Q10</f>
        <v>48333.333333333489</v>
      </c>
    </row>
    <row r="11" spans="1:18" x14ac:dyDescent="0.25">
      <c r="A11" s="1">
        <v>45661</v>
      </c>
      <c r="B11" s="19" t="s">
        <v>582</v>
      </c>
      <c r="C11" s="19">
        <f>M10</f>
        <v>23</v>
      </c>
      <c r="D11" s="19">
        <f>N10</f>
        <v>81666.666666666672</v>
      </c>
      <c r="E11" s="19">
        <f>O10</f>
        <v>1878333.3333333335</v>
      </c>
      <c r="F11" s="19"/>
      <c r="G11" s="19"/>
      <c r="H11" s="19">
        <f t="shared" si="0"/>
        <v>0</v>
      </c>
      <c r="I11" s="19">
        <v>23</v>
      </c>
      <c r="J11" s="19">
        <v>90000</v>
      </c>
      <c r="K11" s="19">
        <f t="shared" si="1"/>
        <v>2070000</v>
      </c>
      <c r="L11" s="8">
        <f>(C11*D11+F11*G11)/(C11+F11)</f>
        <v>81666.666666666672</v>
      </c>
      <c r="M11" s="8">
        <f>C11+F11-I11</f>
        <v>0</v>
      </c>
      <c r="N11" s="8">
        <f>L11</f>
        <v>81666.666666666672</v>
      </c>
      <c r="O11" s="8">
        <f>M11*L11</f>
        <v>0</v>
      </c>
      <c r="P11" s="8">
        <f>J:J*I:I-F:F*G:G</f>
        <v>2070000</v>
      </c>
      <c r="Q11" s="8">
        <f t="shared" ref="Q11" si="3">P11+Q10</f>
        <v>240000</v>
      </c>
      <c r="R11" s="21">
        <f>O11+Q11</f>
        <v>240000</v>
      </c>
    </row>
    <row r="12" spans="1:18" x14ac:dyDescent="0.25">
      <c r="A12" s="1"/>
    </row>
    <row r="13" spans="1:18" x14ac:dyDescent="0.25">
      <c r="A13" s="1"/>
    </row>
    <row r="14" spans="1:18" x14ac:dyDescent="0.25">
      <c r="A14" s="1"/>
    </row>
    <row r="15" spans="1:18" x14ac:dyDescent="0.25">
      <c r="A15" s="1"/>
    </row>
    <row r="16" spans="1:1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E4EC-B7EA-49FF-8139-151AC07D613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0021-C4B8-4A32-8B38-F95C7A36FCB8}">
  <dimension ref="A1:A295"/>
  <sheetViews>
    <sheetView workbookViewId="0">
      <selection sqref="A1:A295"/>
    </sheetView>
  </sheetViews>
  <sheetFormatPr baseColWidth="10" defaultRowHeight="15" x14ac:dyDescent="0.25"/>
  <sheetData>
    <row r="1" spans="1:1" x14ac:dyDescent="0.25">
      <c r="A1" t="s">
        <v>268</v>
      </c>
    </row>
    <row r="2" spans="1:1" x14ac:dyDescent="0.25">
      <c r="A2" t="s">
        <v>269</v>
      </c>
    </row>
    <row r="3" spans="1:1" x14ac:dyDescent="0.25">
      <c r="A3" t="s">
        <v>270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  <row r="7" spans="1:1" x14ac:dyDescent="0.25">
      <c r="A7" t="s">
        <v>274</v>
      </c>
    </row>
    <row r="8" spans="1:1" x14ac:dyDescent="0.25">
      <c r="A8" t="s">
        <v>275</v>
      </c>
    </row>
    <row r="9" spans="1:1" x14ac:dyDescent="0.25">
      <c r="A9" t="s">
        <v>276</v>
      </c>
    </row>
    <row r="10" spans="1:1" x14ac:dyDescent="0.25">
      <c r="A10" t="s">
        <v>277</v>
      </c>
    </row>
    <row r="11" spans="1:1" x14ac:dyDescent="0.25">
      <c r="A11" t="s">
        <v>278</v>
      </c>
    </row>
    <row r="12" spans="1:1" x14ac:dyDescent="0.25">
      <c r="A12" t="s">
        <v>279</v>
      </c>
    </row>
    <row r="13" spans="1:1" x14ac:dyDescent="0.25">
      <c r="A13" t="s">
        <v>280</v>
      </c>
    </row>
    <row r="14" spans="1:1" x14ac:dyDescent="0.25">
      <c r="A14" t="s">
        <v>281</v>
      </c>
    </row>
    <row r="15" spans="1:1" x14ac:dyDescent="0.25">
      <c r="A15" t="s">
        <v>282</v>
      </c>
    </row>
    <row r="16" spans="1:1" x14ac:dyDescent="0.25">
      <c r="A16" t="s">
        <v>283</v>
      </c>
    </row>
    <row r="17" spans="1:1" x14ac:dyDescent="0.25">
      <c r="A17" t="s">
        <v>284</v>
      </c>
    </row>
    <row r="18" spans="1:1" x14ac:dyDescent="0.25">
      <c r="A18" t="s">
        <v>285</v>
      </c>
    </row>
    <row r="19" spans="1:1" x14ac:dyDescent="0.25">
      <c r="A19" t="s">
        <v>286</v>
      </c>
    </row>
    <row r="20" spans="1:1" x14ac:dyDescent="0.25">
      <c r="A20" t="s">
        <v>287</v>
      </c>
    </row>
    <row r="21" spans="1:1" x14ac:dyDescent="0.25">
      <c r="A21" t="s">
        <v>288</v>
      </c>
    </row>
    <row r="22" spans="1:1" x14ac:dyDescent="0.25">
      <c r="A22" t="s">
        <v>289</v>
      </c>
    </row>
    <row r="23" spans="1:1" x14ac:dyDescent="0.25">
      <c r="A23" t="s">
        <v>290</v>
      </c>
    </row>
    <row r="24" spans="1:1" x14ac:dyDescent="0.25">
      <c r="A24" t="s">
        <v>291</v>
      </c>
    </row>
    <row r="25" spans="1:1" x14ac:dyDescent="0.25">
      <c r="A25" t="s">
        <v>292</v>
      </c>
    </row>
    <row r="26" spans="1:1" x14ac:dyDescent="0.25">
      <c r="A26" t="s">
        <v>293</v>
      </c>
    </row>
    <row r="27" spans="1:1" x14ac:dyDescent="0.25">
      <c r="A27" t="s">
        <v>294</v>
      </c>
    </row>
    <row r="28" spans="1:1" x14ac:dyDescent="0.25">
      <c r="A28" t="s">
        <v>295</v>
      </c>
    </row>
    <row r="29" spans="1:1" x14ac:dyDescent="0.25">
      <c r="A29" t="s">
        <v>296</v>
      </c>
    </row>
    <row r="30" spans="1:1" x14ac:dyDescent="0.25">
      <c r="A30" t="s">
        <v>297</v>
      </c>
    </row>
    <row r="31" spans="1:1" x14ac:dyDescent="0.25">
      <c r="A31" t="s">
        <v>298</v>
      </c>
    </row>
    <row r="32" spans="1:1" x14ac:dyDescent="0.25">
      <c r="A32" t="s">
        <v>299</v>
      </c>
    </row>
    <row r="33" spans="1:1" x14ac:dyDescent="0.25">
      <c r="A33" t="s">
        <v>300</v>
      </c>
    </row>
    <row r="34" spans="1:1" x14ac:dyDescent="0.25">
      <c r="A34" t="s">
        <v>301</v>
      </c>
    </row>
    <row r="35" spans="1:1" x14ac:dyDescent="0.25">
      <c r="A35" t="s">
        <v>302</v>
      </c>
    </row>
    <row r="36" spans="1:1" x14ac:dyDescent="0.25">
      <c r="A36" t="s">
        <v>303</v>
      </c>
    </row>
    <row r="37" spans="1:1" x14ac:dyDescent="0.25">
      <c r="A37" t="s">
        <v>304</v>
      </c>
    </row>
    <row r="38" spans="1:1" x14ac:dyDescent="0.25">
      <c r="A38" t="s">
        <v>305</v>
      </c>
    </row>
    <row r="39" spans="1:1" x14ac:dyDescent="0.25">
      <c r="A39" t="s">
        <v>306</v>
      </c>
    </row>
    <row r="40" spans="1:1" x14ac:dyDescent="0.25">
      <c r="A40" t="s">
        <v>307</v>
      </c>
    </row>
    <row r="41" spans="1:1" x14ac:dyDescent="0.25">
      <c r="A41" t="s">
        <v>308</v>
      </c>
    </row>
    <row r="42" spans="1:1" x14ac:dyDescent="0.25">
      <c r="A42" t="s">
        <v>309</v>
      </c>
    </row>
    <row r="43" spans="1:1" x14ac:dyDescent="0.25">
      <c r="A43" t="s">
        <v>310</v>
      </c>
    </row>
    <row r="44" spans="1:1" x14ac:dyDescent="0.25">
      <c r="A44" t="s">
        <v>311</v>
      </c>
    </row>
    <row r="45" spans="1:1" x14ac:dyDescent="0.25">
      <c r="A45" t="s">
        <v>312</v>
      </c>
    </row>
    <row r="46" spans="1:1" x14ac:dyDescent="0.25">
      <c r="A46" t="s">
        <v>313</v>
      </c>
    </row>
    <row r="47" spans="1:1" x14ac:dyDescent="0.25">
      <c r="A47" t="s">
        <v>314</v>
      </c>
    </row>
    <row r="48" spans="1:1" x14ac:dyDescent="0.25">
      <c r="A48" t="s">
        <v>315</v>
      </c>
    </row>
    <row r="49" spans="1:1" x14ac:dyDescent="0.25">
      <c r="A49" t="s">
        <v>316</v>
      </c>
    </row>
    <row r="50" spans="1:1" x14ac:dyDescent="0.25">
      <c r="A50" t="s">
        <v>317</v>
      </c>
    </row>
    <row r="51" spans="1:1" x14ac:dyDescent="0.25">
      <c r="A51" t="s">
        <v>318</v>
      </c>
    </row>
    <row r="52" spans="1:1" x14ac:dyDescent="0.25">
      <c r="A52" t="s">
        <v>319</v>
      </c>
    </row>
    <row r="53" spans="1:1" x14ac:dyDescent="0.25">
      <c r="A53" t="s">
        <v>320</v>
      </c>
    </row>
    <row r="54" spans="1:1" x14ac:dyDescent="0.25">
      <c r="A54" t="s">
        <v>321</v>
      </c>
    </row>
    <row r="55" spans="1:1" x14ac:dyDescent="0.25">
      <c r="A55" t="s">
        <v>322</v>
      </c>
    </row>
    <row r="56" spans="1:1" x14ac:dyDescent="0.25">
      <c r="A56" t="s">
        <v>323</v>
      </c>
    </row>
    <row r="57" spans="1:1" x14ac:dyDescent="0.25">
      <c r="A57" t="s">
        <v>324</v>
      </c>
    </row>
    <row r="58" spans="1:1" x14ac:dyDescent="0.25">
      <c r="A58" t="s">
        <v>325</v>
      </c>
    </row>
    <row r="59" spans="1:1" x14ac:dyDescent="0.25">
      <c r="A59" t="s">
        <v>326</v>
      </c>
    </row>
    <row r="60" spans="1:1" x14ac:dyDescent="0.25">
      <c r="A60" t="s">
        <v>327</v>
      </c>
    </row>
    <row r="61" spans="1:1" x14ac:dyDescent="0.25">
      <c r="A61" t="s">
        <v>328</v>
      </c>
    </row>
    <row r="62" spans="1:1" x14ac:dyDescent="0.25">
      <c r="A62" t="s">
        <v>329</v>
      </c>
    </row>
    <row r="63" spans="1:1" x14ac:dyDescent="0.25">
      <c r="A63" t="s">
        <v>330</v>
      </c>
    </row>
    <row r="64" spans="1:1" x14ac:dyDescent="0.25">
      <c r="A64" t="s">
        <v>331</v>
      </c>
    </row>
    <row r="65" spans="1:1" x14ac:dyDescent="0.25">
      <c r="A65" t="s">
        <v>332</v>
      </c>
    </row>
    <row r="66" spans="1:1" x14ac:dyDescent="0.25">
      <c r="A66" t="s">
        <v>333</v>
      </c>
    </row>
    <row r="67" spans="1:1" x14ac:dyDescent="0.25">
      <c r="A67" t="s">
        <v>334</v>
      </c>
    </row>
    <row r="68" spans="1:1" x14ac:dyDescent="0.25">
      <c r="A68" t="s">
        <v>335</v>
      </c>
    </row>
    <row r="69" spans="1:1" x14ac:dyDescent="0.25">
      <c r="A69" t="s">
        <v>336</v>
      </c>
    </row>
    <row r="70" spans="1:1" x14ac:dyDescent="0.25">
      <c r="A70" t="s">
        <v>337</v>
      </c>
    </row>
    <row r="71" spans="1:1" x14ac:dyDescent="0.25">
      <c r="A71" t="s">
        <v>338</v>
      </c>
    </row>
    <row r="72" spans="1:1" x14ac:dyDescent="0.25">
      <c r="A72" t="s">
        <v>339</v>
      </c>
    </row>
    <row r="73" spans="1:1" x14ac:dyDescent="0.25">
      <c r="A73" t="s">
        <v>340</v>
      </c>
    </row>
    <row r="74" spans="1:1" x14ac:dyDescent="0.25">
      <c r="A74" t="s">
        <v>341</v>
      </c>
    </row>
    <row r="75" spans="1:1" x14ac:dyDescent="0.25">
      <c r="A75" t="s">
        <v>342</v>
      </c>
    </row>
    <row r="76" spans="1:1" x14ac:dyDescent="0.25">
      <c r="A76" t="s">
        <v>343</v>
      </c>
    </row>
    <row r="77" spans="1:1" x14ac:dyDescent="0.25">
      <c r="A77" t="s">
        <v>344</v>
      </c>
    </row>
    <row r="78" spans="1:1" x14ac:dyDescent="0.25">
      <c r="A78" t="s">
        <v>345</v>
      </c>
    </row>
    <row r="79" spans="1:1" x14ac:dyDescent="0.25">
      <c r="A79" t="s">
        <v>346</v>
      </c>
    </row>
    <row r="80" spans="1:1" x14ac:dyDescent="0.25">
      <c r="A80" t="s">
        <v>347</v>
      </c>
    </row>
    <row r="81" spans="1:1" x14ac:dyDescent="0.25">
      <c r="A81" t="s">
        <v>348</v>
      </c>
    </row>
    <row r="82" spans="1:1" x14ac:dyDescent="0.25">
      <c r="A82" t="s">
        <v>349</v>
      </c>
    </row>
    <row r="83" spans="1:1" x14ac:dyDescent="0.25">
      <c r="A83" t="s">
        <v>350</v>
      </c>
    </row>
    <row r="84" spans="1:1" x14ac:dyDescent="0.25">
      <c r="A84" t="s">
        <v>351</v>
      </c>
    </row>
    <row r="85" spans="1:1" x14ac:dyDescent="0.25">
      <c r="A85" t="s">
        <v>352</v>
      </c>
    </row>
    <row r="86" spans="1:1" x14ac:dyDescent="0.25">
      <c r="A86" t="s">
        <v>353</v>
      </c>
    </row>
    <row r="87" spans="1:1" x14ac:dyDescent="0.25">
      <c r="A87" t="s">
        <v>354</v>
      </c>
    </row>
    <row r="88" spans="1:1" x14ac:dyDescent="0.25">
      <c r="A88" t="s">
        <v>355</v>
      </c>
    </row>
    <row r="89" spans="1:1" x14ac:dyDescent="0.25">
      <c r="A89" t="s">
        <v>356</v>
      </c>
    </row>
    <row r="90" spans="1:1" x14ac:dyDescent="0.25">
      <c r="A90" t="s">
        <v>357</v>
      </c>
    </row>
    <row r="91" spans="1:1" x14ac:dyDescent="0.25">
      <c r="A91" t="s">
        <v>358</v>
      </c>
    </row>
    <row r="92" spans="1:1" x14ac:dyDescent="0.25">
      <c r="A92" t="s">
        <v>359</v>
      </c>
    </row>
    <row r="93" spans="1:1" x14ac:dyDescent="0.25">
      <c r="A93" t="s">
        <v>360</v>
      </c>
    </row>
    <row r="94" spans="1:1" x14ac:dyDescent="0.25">
      <c r="A94" t="s">
        <v>361</v>
      </c>
    </row>
    <row r="95" spans="1:1" x14ac:dyDescent="0.25">
      <c r="A95" t="s">
        <v>362</v>
      </c>
    </row>
    <row r="96" spans="1:1" x14ac:dyDescent="0.25">
      <c r="A96" t="s">
        <v>363</v>
      </c>
    </row>
    <row r="97" spans="1:1" x14ac:dyDescent="0.25">
      <c r="A97" t="s">
        <v>364</v>
      </c>
    </row>
    <row r="98" spans="1:1" x14ac:dyDescent="0.25">
      <c r="A98" t="s">
        <v>365</v>
      </c>
    </row>
    <row r="99" spans="1:1" x14ac:dyDescent="0.25">
      <c r="A99" t="s">
        <v>366</v>
      </c>
    </row>
    <row r="100" spans="1:1" x14ac:dyDescent="0.25">
      <c r="A100" t="s">
        <v>367</v>
      </c>
    </row>
    <row r="101" spans="1:1" x14ac:dyDescent="0.25">
      <c r="A101" t="s">
        <v>368</v>
      </c>
    </row>
    <row r="102" spans="1:1" x14ac:dyDescent="0.25">
      <c r="A102" t="s">
        <v>369</v>
      </c>
    </row>
    <row r="103" spans="1:1" x14ac:dyDescent="0.25">
      <c r="A103" t="s">
        <v>370</v>
      </c>
    </row>
    <row r="104" spans="1:1" x14ac:dyDescent="0.25">
      <c r="A104" t="s">
        <v>371</v>
      </c>
    </row>
    <row r="105" spans="1:1" x14ac:dyDescent="0.25">
      <c r="A105" t="s">
        <v>372</v>
      </c>
    </row>
    <row r="106" spans="1:1" x14ac:dyDescent="0.25">
      <c r="A106" t="s">
        <v>373</v>
      </c>
    </row>
    <row r="107" spans="1:1" x14ac:dyDescent="0.25">
      <c r="A107" t="s">
        <v>374</v>
      </c>
    </row>
    <row r="108" spans="1:1" x14ac:dyDescent="0.25">
      <c r="A108" t="s">
        <v>375</v>
      </c>
    </row>
    <row r="109" spans="1:1" x14ac:dyDescent="0.25">
      <c r="A109" t="s">
        <v>376</v>
      </c>
    </row>
    <row r="110" spans="1:1" x14ac:dyDescent="0.25">
      <c r="A110" t="s">
        <v>377</v>
      </c>
    </row>
    <row r="111" spans="1:1" x14ac:dyDescent="0.25">
      <c r="A111" t="s">
        <v>378</v>
      </c>
    </row>
    <row r="112" spans="1:1" x14ac:dyDescent="0.25">
      <c r="A112" t="s">
        <v>379</v>
      </c>
    </row>
    <row r="113" spans="1:1" x14ac:dyDescent="0.25">
      <c r="A113" t="s">
        <v>380</v>
      </c>
    </row>
    <row r="114" spans="1:1" x14ac:dyDescent="0.25">
      <c r="A114" t="s">
        <v>381</v>
      </c>
    </row>
    <row r="115" spans="1:1" x14ac:dyDescent="0.25">
      <c r="A115" t="s">
        <v>382</v>
      </c>
    </row>
    <row r="116" spans="1:1" x14ac:dyDescent="0.25">
      <c r="A116" t="s">
        <v>383</v>
      </c>
    </row>
    <row r="117" spans="1:1" x14ac:dyDescent="0.25">
      <c r="A117" t="s">
        <v>384</v>
      </c>
    </row>
    <row r="118" spans="1:1" x14ac:dyDescent="0.25">
      <c r="A118" t="s">
        <v>385</v>
      </c>
    </row>
    <row r="119" spans="1:1" x14ac:dyDescent="0.25">
      <c r="A119" t="s">
        <v>386</v>
      </c>
    </row>
    <row r="120" spans="1:1" x14ac:dyDescent="0.25">
      <c r="A120" t="s">
        <v>387</v>
      </c>
    </row>
    <row r="121" spans="1:1" x14ac:dyDescent="0.25">
      <c r="A121" t="s">
        <v>388</v>
      </c>
    </row>
    <row r="122" spans="1:1" x14ac:dyDescent="0.25">
      <c r="A122" t="s">
        <v>389</v>
      </c>
    </row>
    <row r="123" spans="1:1" x14ac:dyDescent="0.25">
      <c r="A123" t="s">
        <v>390</v>
      </c>
    </row>
    <row r="124" spans="1:1" x14ac:dyDescent="0.25">
      <c r="A124" t="s">
        <v>391</v>
      </c>
    </row>
    <row r="125" spans="1:1" x14ac:dyDescent="0.25">
      <c r="A125" t="s">
        <v>392</v>
      </c>
    </row>
    <row r="126" spans="1:1" x14ac:dyDescent="0.25">
      <c r="A126" t="s">
        <v>393</v>
      </c>
    </row>
    <row r="127" spans="1:1" x14ac:dyDescent="0.25">
      <c r="A127" t="s">
        <v>394</v>
      </c>
    </row>
    <row r="128" spans="1:1" x14ac:dyDescent="0.25">
      <c r="A128" t="s">
        <v>395</v>
      </c>
    </row>
    <row r="129" spans="1:1" x14ac:dyDescent="0.25">
      <c r="A129" t="s">
        <v>396</v>
      </c>
    </row>
    <row r="130" spans="1:1" x14ac:dyDescent="0.25">
      <c r="A130" t="s">
        <v>397</v>
      </c>
    </row>
    <row r="131" spans="1:1" x14ac:dyDescent="0.25">
      <c r="A131" t="s">
        <v>398</v>
      </c>
    </row>
    <row r="132" spans="1:1" x14ac:dyDescent="0.25">
      <c r="A132" t="s">
        <v>399</v>
      </c>
    </row>
    <row r="133" spans="1:1" x14ac:dyDescent="0.25">
      <c r="A133" t="s">
        <v>400</v>
      </c>
    </row>
    <row r="134" spans="1:1" x14ac:dyDescent="0.25">
      <c r="A134" t="s">
        <v>401</v>
      </c>
    </row>
    <row r="135" spans="1:1" x14ac:dyDescent="0.25">
      <c r="A135" t="s">
        <v>402</v>
      </c>
    </row>
    <row r="136" spans="1:1" x14ac:dyDescent="0.25">
      <c r="A136" t="s">
        <v>403</v>
      </c>
    </row>
    <row r="137" spans="1:1" x14ac:dyDescent="0.25">
      <c r="A137" t="s">
        <v>404</v>
      </c>
    </row>
    <row r="138" spans="1:1" x14ac:dyDescent="0.25">
      <c r="A138" t="s">
        <v>405</v>
      </c>
    </row>
    <row r="139" spans="1:1" x14ac:dyDescent="0.25">
      <c r="A139" t="s">
        <v>406</v>
      </c>
    </row>
    <row r="140" spans="1:1" x14ac:dyDescent="0.25">
      <c r="A140" t="s">
        <v>407</v>
      </c>
    </row>
    <row r="141" spans="1:1" x14ac:dyDescent="0.25">
      <c r="A141" t="s">
        <v>408</v>
      </c>
    </row>
    <row r="142" spans="1:1" x14ac:dyDescent="0.25">
      <c r="A142" t="s">
        <v>409</v>
      </c>
    </row>
    <row r="143" spans="1:1" x14ac:dyDescent="0.25">
      <c r="A143" t="s">
        <v>410</v>
      </c>
    </row>
    <row r="144" spans="1:1" x14ac:dyDescent="0.25">
      <c r="A144" t="s">
        <v>411</v>
      </c>
    </row>
    <row r="145" spans="1:1" x14ac:dyDescent="0.25">
      <c r="A145" t="s">
        <v>412</v>
      </c>
    </row>
    <row r="146" spans="1:1" x14ac:dyDescent="0.25">
      <c r="A146" t="s">
        <v>413</v>
      </c>
    </row>
    <row r="147" spans="1:1" x14ac:dyDescent="0.25">
      <c r="A147" t="s">
        <v>414</v>
      </c>
    </row>
    <row r="148" spans="1:1" x14ac:dyDescent="0.25">
      <c r="A148" t="s">
        <v>415</v>
      </c>
    </row>
    <row r="149" spans="1:1" x14ac:dyDescent="0.25">
      <c r="A149" t="s">
        <v>416</v>
      </c>
    </row>
    <row r="150" spans="1:1" x14ac:dyDescent="0.25">
      <c r="A150" t="s">
        <v>417</v>
      </c>
    </row>
    <row r="151" spans="1:1" x14ac:dyDescent="0.25">
      <c r="A151" t="s">
        <v>418</v>
      </c>
    </row>
    <row r="152" spans="1:1" x14ac:dyDescent="0.25">
      <c r="A152" t="s">
        <v>419</v>
      </c>
    </row>
    <row r="153" spans="1:1" x14ac:dyDescent="0.25">
      <c r="A153" t="s">
        <v>420</v>
      </c>
    </row>
    <row r="154" spans="1:1" x14ac:dyDescent="0.25">
      <c r="A154" t="s">
        <v>421</v>
      </c>
    </row>
    <row r="155" spans="1:1" x14ac:dyDescent="0.25">
      <c r="A155" t="s">
        <v>422</v>
      </c>
    </row>
    <row r="156" spans="1:1" x14ac:dyDescent="0.25">
      <c r="A156" t="s">
        <v>423</v>
      </c>
    </row>
    <row r="157" spans="1:1" x14ac:dyDescent="0.25">
      <c r="A157" t="s">
        <v>424</v>
      </c>
    </row>
    <row r="158" spans="1:1" x14ac:dyDescent="0.25">
      <c r="A158" t="s">
        <v>425</v>
      </c>
    </row>
    <row r="159" spans="1:1" x14ac:dyDescent="0.25">
      <c r="A159" t="s">
        <v>426</v>
      </c>
    </row>
    <row r="160" spans="1:1" x14ac:dyDescent="0.25">
      <c r="A160" t="s">
        <v>427</v>
      </c>
    </row>
    <row r="161" spans="1:1" x14ac:dyDescent="0.25">
      <c r="A161" t="s">
        <v>428</v>
      </c>
    </row>
    <row r="162" spans="1:1" x14ac:dyDescent="0.25">
      <c r="A162" t="s">
        <v>429</v>
      </c>
    </row>
    <row r="163" spans="1:1" x14ac:dyDescent="0.25">
      <c r="A163" t="s">
        <v>430</v>
      </c>
    </row>
    <row r="164" spans="1:1" x14ac:dyDescent="0.25">
      <c r="A164" t="s">
        <v>431</v>
      </c>
    </row>
    <row r="165" spans="1:1" x14ac:dyDescent="0.25">
      <c r="A165" t="s">
        <v>432</v>
      </c>
    </row>
    <row r="166" spans="1:1" x14ac:dyDescent="0.25">
      <c r="A166" t="s">
        <v>433</v>
      </c>
    </row>
    <row r="167" spans="1:1" x14ac:dyDescent="0.25">
      <c r="A167" t="s">
        <v>434</v>
      </c>
    </row>
    <row r="168" spans="1:1" x14ac:dyDescent="0.25">
      <c r="A168" t="s">
        <v>435</v>
      </c>
    </row>
    <row r="169" spans="1:1" x14ac:dyDescent="0.25">
      <c r="A169" t="s">
        <v>436</v>
      </c>
    </row>
    <row r="170" spans="1:1" x14ac:dyDescent="0.25">
      <c r="A170" t="s">
        <v>437</v>
      </c>
    </row>
    <row r="171" spans="1:1" x14ac:dyDescent="0.25">
      <c r="A171" t="s">
        <v>438</v>
      </c>
    </row>
    <row r="172" spans="1:1" x14ac:dyDescent="0.25">
      <c r="A172" t="s">
        <v>439</v>
      </c>
    </row>
    <row r="173" spans="1:1" x14ac:dyDescent="0.25">
      <c r="A173" t="s">
        <v>440</v>
      </c>
    </row>
    <row r="174" spans="1:1" x14ac:dyDescent="0.25">
      <c r="A174" t="s">
        <v>441</v>
      </c>
    </row>
    <row r="175" spans="1:1" x14ac:dyDescent="0.25">
      <c r="A175" t="s">
        <v>442</v>
      </c>
    </row>
    <row r="176" spans="1:1" x14ac:dyDescent="0.25">
      <c r="A176" t="s">
        <v>443</v>
      </c>
    </row>
    <row r="177" spans="1:1" x14ac:dyDescent="0.25">
      <c r="A177" t="s">
        <v>444</v>
      </c>
    </row>
    <row r="178" spans="1:1" x14ac:dyDescent="0.25">
      <c r="A178" t="s">
        <v>445</v>
      </c>
    </row>
    <row r="179" spans="1:1" x14ac:dyDescent="0.25">
      <c r="A179" t="s">
        <v>446</v>
      </c>
    </row>
    <row r="180" spans="1:1" x14ac:dyDescent="0.25">
      <c r="A180" t="s">
        <v>447</v>
      </c>
    </row>
    <row r="181" spans="1:1" x14ac:dyDescent="0.25">
      <c r="A181" t="s">
        <v>448</v>
      </c>
    </row>
    <row r="182" spans="1:1" x14ac:dyDescent="0.25">
      <c r="A182" t="s">
        <v>449</v>
      </c>
    </row>
    <row r="183" spans="1:1" x14ac:dyDescent="0.25">
      <c r="A183" t="s">
        <v>450</v>
      </c>
    </row>
    <row r="184" spans="1:1" x14ac:dyDescent="0.25">
      <c r="A184" t="s">
        <v>451</v>
      </c>
    </row>
    <row r="185" spans="1:1" x14ac:dyDescent="0.25">
      <c r="A185" t="s">
        <v>452</v>
      </c>
    </row>
    <row r="186" spans="1:1" x14ac:dyDescent="0.25">
      <c r="A186" t="s">
        <v>453</v>
      </c>
    </row>
    <row r="187" spans="1:1" x14ac:dyDescent="0.25">
      <c r="A187" t="s">
        <v>454</v>
      </c>
    </row>
    <row r="188" spans="1:1" x14ac:dyDescent="0.25">
      <c r="A188" t="s">
        <v>455</v>
      </c>
    </row>
    <row r="189" spans="1:1" x14ac:dyDescent="0.25">
      <c r="A189" t="s">
        <v>456</v>
      </c>
    </row>
    <row r="190" spans="1:1" x14ac:dyDescent="0.25">
      <c r="A190" t="s">
        <v>457</v>
      </c>
    </row>
    <row r="191" spans="1:1" x14ac:dyDescent="0.25">
      <c r="A191" t="s">
        <v>458</v>
      </c>
    </row>
    <row r="192" spans="1:1" x14ac:dyDescent="0.25">
      <c r="A192" t="s">
        <v>459</v>
      </c>
    </row>
    <row r="193" spans="1:1" x14ac:dyDescent="0.25">
      <c r="A193" t="s">
        <v>460</v>
      </c>
    </row>
    <row r="194" spans="1:1" x14ac:dyDescent="0.25">
      <c r="A194" t="s">
        <v>461</v>
      </c>
    </row>
    <row r="195" spans="1:1" x14ac:dyDescent="0.25">
      <c r="A195" t="s">
        <v>462</v>
      </c>
    </row>
    <row r="196" spans="1:1" x14ac:dyDescent="0.25">
      <c r="A196" t="s">
        <v>463</v>
      </c>
    </row>
    <row r="197" spans="1:1" x14ac:dyDescent="0.25">
      <c r="A197" t="s">
        <v>464</v>
      </c>
    </row>
    <row r="198" spans="1:1" x14ac:dyDescent="0.25">
      <c r="A198" t="s">
        <v>465</v>
      </c>
    </row>
    <row r="199" spans="1:1" x14ac:dyDescent="0.25">
      <c r="A199" t="s">
        <v>466</v>
      </c>
    </row>
    <row r="200" spans="1:1" x14ac:dyDescent="0.25">
      <c r="A200" t="s">
        <v>467</v>
      </c>
    </row>
    <row r="201" spans="1:1" x14ac:dyDescent="0.25">
      <c r="A201" t="s">
        <v>468</v>
      </c>
    </row>
    <row r="202" spans="1:1" x14ac:dyDescent="0.25">
      <c r="A202" t="s">
        <v>469</v>
      </c>
    </row>
    <row r="203" spans="1:1" x14ac:dyDescent="0.25">
      <c r="A203" t="s">
        <v>470</v>
      </c>
    </row>
    <row r="204" spans="1:1" x14ac:dyDescent="0.25">
      <c r="A204" t="s">
        <v>471</v>
      </c>
    </row>
    <row r="205" spans="1:1" x14ac:dyDescent="0.25">
      <c r="A205" t="s">
        <v>472</v>
      </c>
    </row>
    <row r="206" spans="1:1" x14ac:dyDescent="0.25">
      <c r="A206" t="s">
        <v>473</v>
      </c>
    </row>
    <row r="207" spans="1:1" x14ac:dyDescent="0.25">
      <c r="A207" t="s">
        <v>474</v>
      </c>
    </row>
    <row r="208" spans="1:1" x14ac:dyDescent="0.25">
      <c r="A208" t="s">
        <v>475</v>
      </c>
    </row>
    <row r="209" spans="1:1" x14ac:dyDescent="0.25">
      <c r="A209" t="s">
        <v>476</v>
      </c>
    </row>
    <row r="210" spans="1:1" x14ac:dyDescent="0.25">
      <c r="A210" t="s">
        <v>477</v>
      </c>
    </row>
    <row r="211" spans="1:1" x14ac:dyDescent="0.25">
      <c r="A211" t="s">
        <v>478</v>
      </c>
    </row>
    <row r="212" spans="1:1" x14ac:dyDescent="0.25">
      <c r="A212" t="s">
        <v>479</v>
      </c>
    </row>
    <row r="213" spans="1:1" x14ac:dyDescent="0.25">
      <c r="A213" t="s">
        <v>480</v>
      </c>
    </row>
    <row r="214" spans="1:1" x14ac:dyDescent="0.25">
      <c r="A214" t="s">
        <v>481</v>
      </c>
    </row>
    <row r="215" spans="1:1" x14ac:dyDescent="0.25">
      <c r="A215" t="s">
        <v>482</v>
      </c>
    </row>
    <row r="216" spans="1:1" x14ac:dyDescent="0.25">
      <c r="A216" t="s">
        <v>483</v>
      </c>
    </row>
    <row r="217" spans="1:1" x14ac:dyDescent="0.25">
      <c r="A217" t="s">
        <v>484</v>
      </c>
    </row>
    <row r="218" spans="1:1" x14ac:dyDescent="0.25">
      <c r="A218" t="s">
        <v>485</v>
      </c>
    </row>
    <row r="219" spans="1:1" x14ac:dyDescent="0.25">
      <c r="A219" t="s">
        <v>486</v>
      </c>
    </row>
    <row r="220" spans="1:1" x14ac:dyDescent="0.25">
      <c r="A220" t="s">
        <v>487</v>
      </c>
    </row>
    <row r="221" spans="1:1" x14ac:dyDescent="0.25">
      <c r="A221" t="s">
        <v>488</v>
      </c>
    </row>
    <row r="222" spans="1:1" x14ac:dyDescent="0.25">
      <c r="A222" t="s">
        <v>489</v>
      </c>
    </row>
    <row r="223" spans="1:1" x14ac:dyDescent="0.25">
      <c r="A223" t="s">
        <v>490</v>
      </c>
    </row>
    <row r="224" spans="1:1" x14ac:dyDescent="0.25">
      <c r="A224" t="s">
        <v>491</v>
      </c>
    </row>
    <row r="225" spans="1:1" x14ac:dyDescent="0.25">
      <c r="A225" t="s">
        <v>492</v>
      </c>
    </row>
    <row r="226" spans="1:1" x14ac:dyDescent="0.25">
      <c r="A226" t="s">
        <v>493</v>
      </c>
    </row>
    <row r="227" spans="1:1" x14ac:dyDescent="0.25">
      <c r="A227" t="s">
        <v>494</v>
      </c>
    </row>
    <row r="228" spans="1:1" x14ac:dyDescent="0.25">
      <c r="A228" t="s">
        <v>495</v>
      </c>
    </row>
    <row r="229" spans="1:1" x14ac:dyDescent="0.25">
      <c r="A229" t="s">
        <v>496</v>
      </c>
    </row>
    <row r="230" spans="1:1" x14ac:dyDescent="0.25">
      <c r="A230" t="s">
        <v>497</v>
      </c>
    </row>
    <row r="231" spans="1:1" x14ac:dyDescent="0.25">
      <c r="A231" t="s">
        <v>498</v>
      </c>
    </row>
    <row r="232" spans="1:1" x14ac:dyDescent="0.25">
      <c r="A232" t="s">
        <v>499</v>
      </c>
    </row>
    <row r="233" spans="1:1" x14ac:dyDescent="0.25">
      <c r="A233" t="s">
        <v>500</v>
      </c>
    </row>
    <row r="234" spans="1:1" x14ac:dyDescent="0.25">
      <c r="A234" t="s">
        <v>501</v>
      </c>
    </row>
    <row r="235" spans="1:1" x14ac:dyDescent="0.25">
      <c r="A235" t="s">
        <v>502</v>
      </c>
    </row>
    <row r="236" spans="1:1" x14ac:dyDescent="0.25">
      <c r="A236" t="s">
        <v>503</v>
      </c>
    </row>
    <row r="237" spans="1:1" x14ac:dyDescent="0.25">
      <c r="A237" t="s">
        <v>504</v>
      </c>
    </row>
    <row r="238" spans="1:1" x14ac:dyDescent="0.25">
      <c r="A238" t="s">
        <v>505</v>
      </c>
    </row>
    <row r="239" spans="1:1" x14ac:dyDescent="0.25">
      <c r="A239" t="s">
        <v>506</v>
      </c>
    </row>
    <row r="240" spans="1:1" x14ac:dyDescent="0.25">
      <c r="A240" t="s">
        <v>507</v>
      </c>
    </row>
    <row r="241" spans="1:1" x14ac:dyDescent="0.25">
      <c r="A241" t="s">
        <v>508</v>
      </c>
    </row>
    <row r="242" spans="1:1" x14ac:dyDescent="0.25">
      <c r="A242" t="s">
        <v>509</v>
      </c>
    </row>
    <row r="243" spans="1:1" x14ac:dyDescent="0.25">
      <c r="A243" t="s">
        <v>510</v>
      </c>
    </row>
    <row r="244" spans="1:1" x14ac:dyDescent="0.25">
      <c r="A244" t="s">
        <v>511</v>
      </c>
    </row>
    <row r="245" spans="1:1" x14ac:dyDescent="0.25">
      <c r="A245" t="s">
        <v>512</v>
      </c>
    </row>
    <row r="246" spans="1:1" x14ac:dyDescent="0.25">
      <c r="A246" t="s">
        <v>513</v>
      </c>
    </row>
    <row r="247" spans="1:1" x14ac:dyDescent="0.25">
      <c r="A247" t="s">
        <v>514</v>
      </c>
    </row>
    <row r="248" spans="1:1" x14ac:dyDescent="0.25">
      <c r="A248" t="s">
        <v>515</v>
      </c>
    </row>
    <row r="249" spans="1:1" x14ac:dyDescent="0.25">
      <c r="A249" t="s">
        <v>516</v>
      </c>
    </row>
    <row r="250" spans="1:1" x14ac:dyDescent="0.25">
      <c r="A250" t="s">
        <v>517</v>
      </c>
    </row>
    <row r="251" spans="1:1" x14ac:dyDescent="0.25">
      <c r="A251" t="s">
        <v>518</v>
      </c>
    </row>
    <row r="252" spans="1:1" x14ac:dyDescent="0.25">
      <c r="A252" t="s">
        <v>519</v>
      </c>
    </row>
    <row r="253" spans="1:1" x14ac:dyDescent="0.25">
      <c r="A253" t="s">
        <v>520</v>
      </c>
    </row>
    <row r="254" spans="1:1" x14ac:dyDescent="0.25">
      <c r="A254" t="s">
        <v>521</v>
      </c>
    </row>
    <row r="255" spans="1:1" x14ac:dyDescent="0.25">
      <c r="A255" t="s">
        <v>522</v>
      </c>
    </row>
    <row r="256" spans="1:1" x14ac:dyDescent="0.25">
      <c r="A256" t="s">
        <v>523</v>
      </c>
    </row>
    <row r="257" spans="1:1" x14ac:dyDescent="0.25">
      <c r="A257" t="s">
        <v>524</v>
      </c>
    </row>
    <row r="258" spans="1:1" x14ac:dyDescent="0.25">
      <c r="A258" t="s">
        <v>525</v>
      </c>
    </row>
    <row r="259" spans="1:1" x14ac:dyDescent="0.25">
      <c r="A259" t="s">
        <v>526</v>
      </c>
    </row>
    <row r="260" spans="1:1" x14ac:dyDescent="0.25">
      <c r="A260" t="s">
        <v>527</v>
      </c>
    </row>
    <row r="261" spans="1:1" x14ac:dyDescent="0.25">
      <c r="A261" t="s">
        <v>528</v>
      </c>
    </row>
    <row r="262" spans="1:1" x14ac:dyDescent="0.25">
      <c r="A262" t="s">
        <v>529</v>
      </c>
    </row>
    <row r="263" spans="1:1" x14ac:dyDescent="0.25">
      <c r="A263" t="s">
        <v>530</v>
      </c>
    </row>
    <row r="264" spans="1:1" x14ac:dyDescent="0.25">
      <c r="A264" t="s">
        <v>531</v>
      </c>
    </row>
    <row r="265" spans="1:1" x14ac:dyDescent="0.25">
      <c r="A265" t="s">
        <v>532</v>
      </c>
    </row>
    <row r="266" spans="1:1" x14ac:dyDescent="0.25">
      <c r="A266" t="s">
        <v>533</v>
      </c>
    </row>
    <row r="267" spans="1:1" x14ac:dyDescent="0.25">
      <c r="A267" t="s">
        <v>534</v>
      </c>
    </row>
    <row r="268" spans="1:1" x14ac:dyDescent="0.25">
      <c r="A268" t="s">
        <v>535</v>
      </c>
    </row>
    <row r="269" spans="1:1" x14ac:dyDescent="0.25">
      <c r="A269" t="s">
        <v>536</v>
      </c>
    </row>
    <row r="270" spans="1:1" x14ac:dyDescent="0.25">
      <c r="A270" t="s">
        <v>537</v>
      </c>
    </row>
    <row r="271" spans="1:1" x14ac:dyDescent="0.25">
      <c r="A271" t="s">
        <v>538</v>
      </c>
    </row>
    <row r="272" spans="1:1" x14ac:dyDescent="0.25">
      <c r="A272" t="s">
        <v>539</v>
      </c>
    </row>
    <row r="273" spans="1:1" x14ac:dyDescent="0.25">
      <c r="A273" t="s">
        <v>540</v>
      </c>
    </row>
    <row r="274" spans="1:1" x14ac:dyDescent="0.25">
      <c r="A274" t="s">
        <v>541</v>
      </c>
    </row>
    <row r="275" spans="1:1" x14ac:dyDescent="0.25">
      <c r="A275" t="s">
        <v>542</v>
      </c>
    </row>
    <row r="276" spans="1:1" x14ac:dyDescent="0.25">
      <c r="A276" t="s">
        <v>543</v>
      </c>
    </row>
    <row r="277" spans="1:1" x14ac:dyDescent="0.25">
      <c r="A277" t="s">
        <v>544</v>
      </c>
    </row>
    <row r="278" spans="1:1" x14ac:dyDescent="0.25">
      <c r="A278" t="s">
        <v>545</v>
      </c>
    </row>
    <row r="279" spans="1:1" x14ac:dyDescent="0.25">
      <c r="A279" t="s">
        <v>546</v>
      </c>
    </row>
    <row r="280" spans="1:1" x14ac:dyDescent="0.25">
      <c r="A280" t="s">
        <v>547</v>
      </c>
    </row>
    <row r="281" spans="1:1" x14ac:dyDescent="0.25">
      <c r="A281" t="s">
        <v>548</v>
      </c>
    </row>
    <row r="282" spans="1:1" x14ac:dyDescent="0.25">
      <c r="A282" t="s">
        <v>549</v>
      </c>
    </row>
    <row r="283" spans="1:1" x14ac:dyDescent="0.25">
      <c r="A283" t="s">
        <v>550</v>
      </c>
    </row>
    <row r="284" spans="1:1" x14ac:dyDescent="0.25">
      <c r="A284" t="s">
        <v>551</v>
      </c>
    </row>
    <row r="285" spans="1:1" x14ac:dyDescent="0.25">
      <c r="A285" t="s">
        <v>552</v>
      </c>
    </row>
    <row r="286" spans="1:1" x14ac:dyDescent="0.25">
      <c r="A286" t="s">
        <v>553</v>
      </c>
    </row>
    <row r="287" spans="1:1" x14ac:dyDescent="0.25">
      <c r="A287" t="s">
        <v>554</v>
      </c>
    </row>
    <row r="288" spans="1:1" x14ac:dyDescent="0.25">
      <c r="A288" t="s">
        <v>555</v>
      </c>
    </row>
    <row r="289" spans="1:1" x14ac:dyDescent="0.25">
      <c r="A289" t="s">
        <v>556</v>
      </c>
    </row>
    <row r="290" spans="1:1" x14ac:dyDescent="0.25">
      <c r="A290" t="s">
        <v>557</v>
      </c>
    </row>
    <row r="291" spans="1:1" x14ac:dyDescent="0.25">
      <c r="A291" t="s">
        <v>558</v>
      </c>
    </row>
    <row r="292" spans="1:1" x14ac:dyDescent="0.25">
      <c r="A292" t="s">
        <v>559</v>
      </c>
    </row>
    <row r="293" spans="1:1" x14ac:dyDescent="0.25">
      <c r="A293" t="s">
        <v>560</v>
      </c>
    </row>
    <row r="294" spans="1:1" x14ac:dyDescent="0.25">
      <c r="A294" t="s">
        <v>561</v>
      </c>
    </row>
    <row r="295" spans="1:1" x14ac:dyDescent="0.25">
      <c r="A295" t="s">
        <v>562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7A950C-2699-4862-A755-F1F17007A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Tabelle1</vt:lpstr>
      <vt:lpstr>Tabelle4</vt:lpstr>
      <vt:lpstr>Tabelle5</vt:lpstr>
      <vt:lpstr>Tabelle3</vt:lpstr>
      <vt:lpstr>Tabelle2</vt:lpstr>
    </vt:vector>
  </TitlesOfParts>
  <Company>Schulungszentrum Fohnsdorf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Kateryna Savelieva</dc:creator>
  <cp:lastModifiedBy>Kateryna Savelieva</cp:lastModifiedBy>
  <dcterms:created xsi:type="dcterms:W3CDTF">2026-04-08T10:18:00Z</dcterms:created>
  <dcterms:modified xsi:type="dcterms:W3CDTF">2026-04-08T21:32:10Z</dcterms:modified>
</cp:coreProperties>
</file>